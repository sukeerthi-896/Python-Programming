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19416" windowHeight="7656" tabRatio="862" firstSheet="5" activeTab="11"/>
  </bookViews>
  <sheets>
    <sheet name="Master Copy - A" sheetId="12" r:id="rId1"/>
    <sheet name="22DS501PC - ADA" sheetId="23" r:id="rId2"/>
    <sheet name="22DS502PC-IDS" sheetId="24" r:id="rId3"/>
    <sheet name="22AM503PC-CN" sheetId="25" r:id="rId4"/>
    <sheet name="22DS512PE-AI" sheetId="26" r:id="rId5"/>
    <sheet name="22DS522PE-IRS" sheetId="27" r:id="rId6"/>
    <sheet name="22DS504PC-RP LAB" sheetId="28" r:id="rId7"/>
    <sheet name="22AM506PC-CN LAB" sheetId="29" r:id="rId8"/>
    <sheet name="22EN508HS-AECS LAB" sheetId="30" r:id="rId9"/>
    <sheet name="22DS506PC - ETL KAFKA TALEND" sheetId="31" r:id="rId10"/>
    <sheet name="22MC512 - EOIKT" sheetId="33" r:id="rId11"/>
    <sheet name="22MC510 - IPR" sheetId="32" r:id="rId12"/>
    <sheet name="Sheet1" sheetId="13" state="hidden" r:id="rId13"/>
  </sheets>
  <definedNames>
    <definedName name="_xlnm._FilterDatabase" localSheetId="3" hidden="1">'22AM503PC-CN'!$BM$5:$BN$70</definedName>
    <definedName name="_xlnm._FilterDatabase" localSheetId="7" hidden="1">'22AM506PC-CN LAB'!$AA$5:$AB$70</definedName>
    <definedName name="_xlnm._FilterDatabase" localSheetId="1" hidden="1">'22DS501PC - ADA'!$BP$5:$BQ$70</definedName>
    <definedName name="_xlnm._FilterDatabase" localSheetId="2" hidden="1">'22DS502PC-IDS'!$BO$5:$BP$70</definedName>
    <definedName name="_xlnm._FilterDatabase" localSheetId="6" hidden="1">'22DS504PC-RP LAB'!$X$5:$Y$70</definedName>
    <definedName name="_xlnm._FilterDatabase" localSheetId="9" hidden="1">'22DS506PC - ETL KAFKA TALEND'!$Y$5:$Z$70</definedName>
    <definedName name="_xlnm._FilterDatabase" localSheetId="4" hidden="1">'22DS512PE-AI'!$BQ$5:$BR$70</definedName>
    <definedName name="_xlnm._FilterDatabase" localSheetId="5" hidden="1">'22DS522PE-IRS'!$BQ$5:$BR$70</definedName>
    <definedName name="_xlnm._FilterDatabase" localSheetId="8" hidden="1">'22EN508HS-AECS LAB'!$Z$5:$AA$70</definedName>
    <definedName name="_xlnm._FilterDatabase" localSheetId="11" hidden="1">'22MC510 - IPR'!$Y$5:$Z$70</definedName>
    <definedName name="_xlnm._FilterDatabase" localSheetId="10" hidden="1">'22MC512 - EOIKT'!$Y$5:$Z$70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N7" i="25" l="1"/>
  <c r="BN8" i="25"/>
  <c r="BN9" i="25"/>
  <c r="BN10" i="25"/>
  <c r="BN11" i="25"/>
  <c r="BN12" i="25"/>
  <c r="BN13" i="25"/>
  <c r="BN14" i="25"/>
  <c r="BN15" i="25"/>
  <c r="BN16" i="25"/>
  <c r="BN17" i="25"/>
  <c r="BN18" i="25"/>
  <c r="BN19" i="25"/>
  <c r="BN20" i="25"/>
  <c r="BN21" i="25"/>
  <c r="BN22" i="25"/>
  <c r="BN23" i="25"/>
  <c r="BN24" i="25"/>
  <c r="BN25" i="25"/>
  <c r="BN26" i="25"/>
  <c r="BN27" i="25"/>
  <c r="BN28" i="25"/>
  <c r="BN29" i="25"/>
  <c r="BN30" i="25"/>
  <c r="BN31" i="25"/>
  <c r="BN32" i="25"/>
  <c r="BN33" i="25"/>
  <c r="BN34" i="25"/>
  <c r="BN35" i="25"/>
  <c r="BN36" i="25"/>
  <c r="BN37" i="25"/>
  <c r="BN38" i="25"/>
  <c r="BN39" i="25"/>
  <c r="BN40" i="25"/>
  <c r="BN41" i="25"/>
  <c r="BN42" i="25"/>
  <c r="BN43" i="25"/>
  <c r="BN44" i="25"/>
  <c r="BN45" i="25"/>
  <c r="BN46" i="25"/>
  <c r="BN47" i="25"/>
  <c r="BN48" i="25"/>
  <c r="BN49" i="25"/>
  <c r="BN50" i="25"/>
  <c r="BN51" i="25"/>
  <c r="BN52" i="25"/>
  <c r="BN53" i="25"/>
  <c r="BN54" i="25"/>
  <c r="BN55" i="25"/>
  <c r="BN56" i="25"/>
  <c r="BN57" i="25"/>
  <c r="BN58" i="25"/>
  <c r="BN59" i="25"/>
  <c r="BN60" i="25"/>
  <c r="BN61" i="25"/>
  <c r="BN62" i="25"/>
  <c r="BN63" i="25"/>
  <c r="BN64" i="25"/>
  <c r="BN65" i="25"/>
  <c r="BN66" i="25"/>
  <c r="BN67" i="25"/>
  <c r="BN68" i="25"/>
  <c r="BN69" i="25"/>
  <c r="BN70" i="25"/>
  <c r="BN6" i="25"/>
  <c r="BP7" i="24"/>
  <c r="BP8" i="24"/>
  <c r="BP9" i="24"/>
  <c r="BP10" i="24"/>
  <c r="BP11" i="24"/>
  <c r="BP12" i="24"/>
  <c r="BP13" i="24"/>
  <c r="BP14" i="24"/>
  <c r="BP15" i="24"/>
  <c r="BP16" i="24"/>
  <c r="BP17" i="24"/>
  <c r="BP18" i="24"/>
  <c r="BP19" i="24"/>
  <c r="BP20" i="24"/>
  <c r="BP21" i="24"/>
  <c r="BP22" i="24"/>
  <c r="BP23" i="24"/>
  <c r="BP24" i="24"/>
  <c r="BP25" i="24"/>
  <c r="BP26" i="24"/>
  <c r="BP27" i="24"/>
  <c r="BP28" i="24"/>
  <c r="BP29" i="24"/>
  <c r="BP30" i="24"/>
  <c r="BP31" i="24"/>
  <c r="BP32" i="24"/>
  <c r="BP33" i="24"/>
  <c r="BP34" i="24"/>
  <c r="BP35" i="24"/>
  <c r="BP36" i="24"/>
  <c r="BP37" i="24"/>
  <c r="BP38" i="24"/>
  <c r="BP39" i="24"/>
  <c r="BP40" i="24"/>
  <c r="BP41" i="24"/>
  <c r="BP42" i="24"/>
  <c r="BP43" i="24"/>
  <c r="BP44" i="24"/>
  <c r="BP45" i="24"/>
  <c r="BP46" i="24"/>
  <c r="BP47" i="24"/>
  <c r="BP48" i="24"/>
  <c r="BP49" i="24"/>
  <c r="BP50" i="24"/>
  <c r="BP51" i="24"/>
  <c r="BP52" i="24"/>
  <c r="BP53" i="24"/>
  <c r="BP54" i="24"/>
  <c r="BP55" i="24"/>
  <c r="BP56" i="24"/>
  <c r="BP57" i="24"/>
  <c r="BP58" i="24"/>
  <c r="BP59" i="24"/>
  <c r="BP60" i="24"/>
  <c r="BP61" i="24"/>
  <c r="BP62" i="24"/>
  <c r="BP63" i="24"/>
  <c r="BP64" i="24"/>
  <c r="BP65" i="24"/>
  <c r="BP66" i="24"/>
  <c r="BP67" i="24"/>
  <c r="BP68" i="24"/>
  <c r="BP69" i="24"/>
  <c r="BP70" i="24"/>
  <c r="BP6" i="24"/>
  <c r="AD7" i="23" l="1"/>
  <c r="AD8" i="23"/>
  <c r="AD9" i="23"/>
  <c r="AD10" i="23"/>
  <c r="AD11" i="23"/>
  <c r="AD12" i="23"/>
  <c r="AD13" i="23"/>
  <c r="AD14" i="23"/>
  <c r="AD15" i="23"/>
  <c r="AD16" i="23"/>
  <c r="AD17" i="23"/>
  <c r="AD18" i="23"/>
  <c r="AD19" i="23"/>
  <c r="AD20" i="23"/>
  <c r="AD21" i="23"/>
  <c r="AD22" i="23"/>
  <c r="AD23" i="23"/>
  <c r="AD24" i="23"/>
  <c r="AD25" i="23"/>
  <c r="AD26" i="23"/>
  <c r="AD27" i="23"/>
  <c r="AD28" i="23"/>
  <c r="AD29" i="23"/>
  <c r="AD30" i="23"/>
  <c r="AD31" i="23"/>
  <c r="AD32" i="23"/>
  <c r="AD33" i="23"/>
  <c r="AD34" i="23"/>
  <c r="AD35" i="23"/>
  <c r="AD36" i="23"/>
  <c r="AD37" i="23"/>
  <c r="AD38" i="23"/>
  <c r="AD39" i="23"/>
  <c r="AD40" i="23"/>
  <c r="AD41" i="23"/>
  <c r="AD42" i="23"/>
  <c r="AD43" i="23"/>
  <c r="AD44" i="23"/>
  <c r="AD45" i="23"/>
  <c r="AD46" i="23"/>
  <c r="AD47" i="23"/>
  <c r="AD48" i="23"/>
  <c r="AD49" i="23"/>
  <c r="AD50" i="23"/>
  <c r="AD51" i="23"/>
  <c r="AD52" i="23"/>
  <c r="AD53" i="23"/>
  <c r="AD54" i="23"/>
  <c r="AD55" i="23"/>
  <c r="AD56" i="23"/>
  <c r="AD57" i="23"/>
  <c r="AD58" i="23"/>
  <c r="AD59" i="23"/>
  <c r="AD60" i="23"/>
  <c r="AD61" i="23"/>
  <c r="AD62" i="23"/>
  <c r="AD63" i="23"/>
  <c r="AD64" i="23"/>
  <c r="AD65" i="23"/>
  <c r="AD66" i="23"/>
  <c r="AD67" i="23"/>
  <c r="AD68" i="23"/>
  <c r="AD69" i="23"/>
  <c r="AD70" i="23"/>
  <c r="V7" i="23"/>
  <c r="V8" i="23"/>
  <c r="V9" i="23"/>
  <c r="V10" i="23"/>
  <c r="V11" i="23"/>
  <c r="V12" i="23"/>
  <c r="V13" i="23"/>
  <c r="V14" i="23"/>
  <c r="V15" i="23"/>
  <c r="V16" i="23"/>
  <c r="V17" i="23"/>
  <c r="V18" i="23"/>
  <c r="V19" i="23"/>
  <c r="V20" i="23"/>
  <c r="V21" i="23"/>
  <c r="V22" i="23"/>
  <c r="V23" i="23"/>
  <c r="V24" i="23"/>
  <c r="V25" i="23"/>
  <c r="V26" i="23"/>
  <c r="V27" i="23"/>
  <c r="V28" i="23"/>
  <c r="V29" i="23"/>
  <c r="V30" i="23"/>
  <c r="V31" i="23"/>
  <c r="V32" i="23"/>
  <c r="V33" i="23"/>
  <c r="V34" i="23"/>
  <c r="V35" i="23"/>
  <c r="V36" i="23"/>
  <c r="V37" i="23"/>
  <c r="V38" i="23"/>
  <c r="V39" i="23"/>
  <c r="V40" i="23"/>
  <c r="V41" i="23"/>
  <c r="V42" i="23"/>
  <c r="V43" i="23"/>
  <c r="V44" i="23"/>
  <c r="V45" i="23"/>
  <c r="V46" i="23"/>
  <c r="V47" i="23"/>
  <c r="V48" i="23"/>
  <c r="V49" i="23"/>
  <c r="V50" i="23"/>
  <c r="V51" i="23"/>
  <c r="V52" i="23"/>
  <c r="V53" i="23"/>
  <c r="V54" i="23"/>
  <c r="V55" i="23"/>
  <c r="V56" i="23"/>
  <c r="V57" i="23"/>
  <c r="V58" i="23"/>
  <c r="V59" i="23"/>
  <c r="V60" i="23"/>
  <c r="V61" i="23"/>
  <c r="V62" i="23"/>
  <c r="V63" i="23"/>
  <c r="V64" i="23"/>
  <c r="V65" i="23"/>
  <c r="V66" i="23"/>
  <c r="V67" i="23"/>
  <c r="V68" i="23"/>
  <c r="V69" i="23"/>
  <c r="V70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AV42" i="24" l="1"/>
  <c r="Z5" i="30"/>
  <c r="Y5" i="33"/>
  <c r="S7" i="33"/>
  <c r="S8" i="33"/>
  <c r="S9" i="33"/>
  <c r="S10" i="33"/>
  <c r="S11" i="33"/>
  <c r="S12" i="33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33" i="33"/>
  <c r="S34" i="33"/>
  <c r="S35" i="33"/>
  <c r="S36" i="33"/>
  <c r="S37" i="33"/>
  <c r="S38" i="33"/>
  <c r="S39" i="33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S54" i="33"/>
  <c r="S55" i="33"/>
  <c r="S56" i="33"/>
  <c r="S57" i="33"/>
  <c r="S58" i="33"/>
  <c r="S59" i="33"/>
  <c r="S60" i="33"/>
  <c r="S61" i="33"/>
  <c r="S62" i="33"/>
  <c r="S63" i="33"/>
  <c r="S64" i="33"/>
  <c r="S65" i="33"/>
  <c r="S66" i="33"/>
  <c r="S67" i="33"/>
  <c r="S68" i="33"/>
  <c r="S69" i="33"/>
  <c r="S70" i="33"/>
  <c r="S6" i="33"/>
  <c r="S5" i="31"/>
  <c r="V70" i="33"/>
  <c r="Q70" i="33"/>
  <c r="V69" i="33"/>
  <c r="Q69" i="33"/>
  <c r="V68" i="33"/>
  <c r="Q68" i="33"/>
  <c r="V67" i="33"/>
  <c r="Q67" i="33"/>
  <c r="V66" i="33"/>
  <c r="Q66" i="33"/>
  <c r="V65" i="33"/>
  <c r="Q65" i="33"/>
  <c r="V64" i="33"/>
  <c r="Q64" i="33"/>
  <c r="V63" i="33"/>
  <c r="Q63" i="33"/>
  <c r="V62" i="33"/>
  <c r="Q62" i="33"/>
  <c r="V61" i="33"/>
  <c r="Q61" i="33"/>
  <c r="V60" i="33"/>
  <c r="Q60" i="33"/>
  <c r="V59" i="33"/>
  <c r="Q59" i="33"/>
  <c r="V58" i="33"/>
  <c r="Q58" i="33"/>
  <c r="V57" i="33"/>
  <c r="Q57" i="33"/>
  <c r="V56" i="33"/>
  <c r="Q56" i="33"/>
  <c r="V55" i="33"/>
  <c r="Q55" i="33"/>
  <c r="V54" i="33"/>
  <c r="Q54" i="33"/>
  <c r="V53" i="33"/>
  <c r="Q53" i="33"/>
  <c r="V52" i="33"/>
  <c r="Q52" i="33"/>
  <c r="V51" i="33"/>
  <c r="Q51" i="33"/>
  <c r="V50" i="33"/>
  <c r="Q50" i="33"/>
  <c r="V49" i="33"/>
  <c r="Q49" i="33"/>
  <c r="V48" i="33"/>
  <c r="Q48" i="33"/>
  <c r="V47" i="33"/>
  <c r="Q47" i="33"/>
  <c r="V46" i="33"/>
  <c r="Q46" i="33"/>
  <c r="V45" i="33"/>
  <c r="Q45" i="33"/>
  <c r="V44" i="33"/>
  <c r="Q44" i="33"/>
  <c r="V43" i="33"/>
  <c r="Q43" i="33"/>
  <c r="V42" i="33"/>
  <c r="Q42" i="33"/>
  <c r="V41" i="33"/>
  <c r="Q41" i="33"/>
  <c r="V40" i="33"/>
  <c r="Q40" i="33"/>
  <c r="V39" i="33"/>
  <c r="Q39" i="33"/>
  <c r="V38" i="33"/>
  <c r="Q38" i="33"/>
  <c r="V37" i="33"/>
  <c r="Q37" i="33"/>
  <c r="V36" i="33"/>
  <c r="Q36" i="33"/>
  <c r="V35" i="33"/>
  <c r="Q35" i="33"/>
  <c r="V34" i="33"/>
  <c r="Q34" i="33"/>
  <c r="V33" i="33"/>
  <c r="Q33" i="33"/>
  <c r="V32" i="33"/>
  <c r="Q32" i="33"/>
  <c r="V31" i="33"/>
  <c r="Q31" i="33"/>
  <c r="V30" i="33"/>
  <c r="Q30" i="33"/>
  <c r="V29" i="33"/>
  <c r="Q29" i="33"/>
  <c r="V28" i="33"/>
  <c r="Q28" i="33"/>
  <c r="V27" i="33"/>
  <c r="Q27" i="33"/>
  <c r="V26" i="33"/>
  <c r="Q26" i="33"/>
  <c r="V25" i="33"/>
  <c r="Q25" i="33"/>
  <c r="V24" i="33"/>
  <c r="Q24" i="33"/>
  <c r="V23" i="33"/>
  <c r="Q23" i="33"/>
  <c r="V22" i="33"/>
  <c r="Q22" i="33"/>
  <c r="V21" i="33"/>
  <c r="Q21" i="33"/>
  <c r="V20" i="33"/>
  <c r="Q20" i="33"/>
  <c r="V19" i="33"/>
  <c r="Q19" i="33"/>
  <c r="V18" i="33"/>
  <c r="Q18" i="33"/>
  <c r="V17" i="33"/>
  <c r="Q17" i="33"/>
  <c r="V16" i="33"/>
  <c r="Q16" i="33"/>
  <c r="V15" i="33"/>
  <c r="Q15" i="33"/>
  <c r="V14" i="33"/>
  <c r="Q14" i="33"/>
  <c r="V13" i="33"/>
  <c r="Q13" i="33"/>
  <c r="V12" i="33"/>
  <c r="Q12" i="33"/>
  <c r="V11" i="33"/>
  <c r="Q11" i="33"/>
  <c r="V10" i="33"/>
  <c r="Q10" i="33"/>
  <c r="V9" i="33"/>
  <c r="Q9" i="33"/>
  <c r="V8" i="33"/>
  <c r="Q8" i="33"/>
  <c r="V7" i="33"/>
  <c r="Q7" i="33"/>
  <c r="V6" i="33"/>
  <c r="Q6" i="33"/>
  <c r="V5" i="33"/>
  <c r="S5" i="33"/>
  <c r="Q5" i="33"/>
  <c r="V70" i="32"/>
  <c r="S70" i="32"/>
  <c r="Q70" i="32"/>
  <c r="V69" i="32"/>
  <c r="S69" i="32"/>
  <c r="Q69" i="32"/>
  <c r="V68" i="32"/>
  <c r="S68" i="32"/>
  <c r="Q68" i="32"/>
  <c r="V67" i="32"/>
  <c r="S67" i="32"/>
  <c r="Q67" i="32"/>
  <c r="V66" i="32"/>
  <c r="S66" i="32"/>
  <c r="Q66" i="32"/>
  <c r="V65" i="32"/>
  <c r="S65" i="32"/>
  <c r="Q65" i="32"/>
  <c r="V64" i="32"/>
  <c r="S64" i="32"/>
  <c r="Q64" i="32"/>
  <c r="V63" i="32"/>
  <c r="S63" i="32"/>
  <c r="Q63" i="32"/>
  <c r="V62" i="32"/>
  <c r="S62" i="32"/>
  <c r="Q62" i="32"/>
  <c r="V61" i="32"/>
  <c r="S61" i="32"/>
  <c r="Q61" i="32"/>
  <c r="V60" i="32"/>
  <c r="S60" i="32"/>
  <c r="Q60" i="32"/>
  <c r="V59" i="32"/>
  <c r="S59" i="32"/>
  <c r="Q59" i="32"/>
  <c r="V58" i="32"/>
  <c r="S58" i="32"/>
  <c r="Q58" i="32"/>
  <c r="V57" i="32"/>
  <c r="S57" i="32"/>
  <c r="Q57" i="32"/>
  <c r="V56" i="32"/>
  <c r="S56" i="32"/>
  <c r="Q56" i="32"/>
  <c r="V55" i="32"/>
  <c r="S55" i="32"/>
  <c r="Q55" i="32"/>
  <c r="V54" i="32"/>
  <c r="S54" i="32"/>
  <c r="Q54" i="32"/>
  <c r="V53" i="32"/>
  <c r="S53" i="32"/>
  <c r="Q53" i="32"/>
  <c r="V52" i="32"/>
  <c r="S52" i="32"/>
  <c r="Q52" i="32"/>
  <c r="V51" i="32"/>
  <c r="S51" i="32"/>
  <c r="Q51" i="32"/>
  <c r="V50" i="32"/>
  <c r="S50" i="32"/>
  <c r="Q50" i="32"/>
  <c r="V49" i="32"/>
  <c r="S49" i="32"/>
  <c r="Q49" i="32"/>
  <c r="V48" i="32"/>
  <c r="S48" i="32"/>
  <c r="Q48" i="32"/>
  <c r="V47" i="32"/>
  <c r="S47" i="32"/>
  <c r="Q47" i="32"/>
  <c r="V46" i="32"/>
  <c r="S46" i="32"/>
  <c r="Q46" i="32"/>
  <c r="V45" i="32"/>
  <c r="S45" i="32"/>
  <c r="Q45" i="32"/>
  <c r="V44" i="32"/>
  <c r="S44" i="32"/>
  <c r="Q44" i="32"/>
  <c r="V43" i="32"/>
  <c r="S43" i="32"/>
  <c r="Q43" i="32"/>
  <c r="V42" i="32"/>
  <c r="S42" i="32"/>
  <c r="Q42" i="32"/>
  <c r="V41" i="32"/>
  <c r="S41" i="32"/>
  <c r="Q41" i="32"/>
  <c r="V40" i="32"/>
  <c r="S40" i="32"/>
  <c r="Q40" i="32"/>
  <c r="V39" i="32"/>
  <c r="S39" i="32"/>
  <c r="Q39" i="32"/>
  <c r="V38" i="32"/>
  <c r="S38" i="32"/>
  <c r="Q38" i="32"/>
  <c r="V37" i="32"/>
  <c r="S37" i="32"/>
  <c r="Q37" i="32"/>
  <c r="V36" i="32"/>
  <c r="S36" i="32"/>
  <c r="Q36" i="32"/>
  <c r="V35" i="32"/>
  <c r="S35" i="32"/>
  <c r="Q35" i="32"/>
  <c r="V34" i="32"/>
  <c r="S34" i="32"/>
  <c r="Q34" i="32"/>
  <c r="V33" i="32"/>
  <c r="S33" i="32"/>
  <c r="Q33" i="32"/>
  <c r="V32" i="32"/>
  <c r="S32" i="32"/>
  <c r="Q32" i="32"/>
  <c r="V31" i="32"/>
  <c r="S31" i="32"/>
  <c r="Q31" i="32"/>
  <c r="V30" i="32"/>
  <c r="S30" i="32"/>
  <c r="Q30" i="32"/>
  <c r="V29" i="32"/>
  <c r="S29" i="32"/>
  <c r="Q29" i="32"/>
  <c r="V28" i="32"/>
  <c r="S28" i="32"/>
  <c r="Q28" i="32"/>
  <c r="V27" i="32"/>
  <c r="S27" i="32"/>
  <c r="Q27" i="32"/>
  <c r="V26" i="32"/>
  <c r="S26" i="32"/>
  <c r="Q26" i="32"/>
  <c r="V25" i="32"/>
  <c r="S25" i="32"/>
  <c r="Q25" i="32"/>
  <c r="V24" i="32"/>
  <c r="S24" i="32"/>
  <c r="Q24" i="32"/>
  <c r="V23" i="32"/>
  <c r="S23" i="32"/>
  <c r="Q23" i="32"/>
  <c r="V22" i="32"/>
  <c r="S22" i="32"/>
  <c r="Q22" i="32"/>
  <c r="V21" i="32"/>
  <c r="S21" i="32"/>
  <c r="Q21" i="32"/>
  <c r="V20" i="32"/>
  <c r="S20" i="32"/>
  <c r="Q20" i="32"/>
  <c r="V19" i="32"/>
  <c r="S19" i="32"/>
  <c r="Q19" i="32"/>
  <c r="V18" i="32"/>
  <c r="S18" i="32"/>
  <c r="Q18" i="32"/>
  <c r="V17" i="32"/>
  <c r="S17" i="32"/>
  <c r="Q17" i="32"/>
  <c r="V16" i="32"/>
  <c r="S16" i="32"/>
  <c r="Q16" i="32"/>
  <c r="V15" i="32"/>
  <c r="S15" i="32"/>
  <c r="Q15" i="32"/>
  <c r="V14" i="32"/>
  <c r="S14" i="32"/>
  <c r="Q14" i="32"/>
  <c r="V13" i="32"/>
  <c r="S13" i="32"/>
  <c r="Q13" i="32"/>
  <c r="V12" i="32"/>
  <c r="S12" i="32"/>
  <c r="Q12" i="32"/>
  <c r="V11" i="32"/>
  <c r="S11" i="32"/>
  <c r="Q11" i="32"/>
  <c r="V10" i="32"/>
  <c r="S10" i="32"/>
  <c r="Q10" i="32"/>
  <c r="V9" i="32"/>
  <c r="S9" i="32"/>
  <c r="Q9" i="32"/>
  <c r="V8" i="32"/>
  <c r="S8" i="32"/>
  <c r="Q8" i="32"/>
  <c r="V7" i="32"/>
  <c r="S7" i="32"/>
  <c r="Q7" i="32"/>
  <c r="V6" i="32"/>
  <c r="S6" i="32"/>
  <c r="Q6" i="32"/>
  <c r="V5" i="32"/>
  <c r="S5" i="32"/>
  <c r="Q5" i="32"/>
  <c r="V70" i="31"/>
  <c r="S70" i="31"/>
  <c r="Q70" i="31"/>
  <c r="V69" i="31"/>
  <c r="S69" i="31"/>
  <c r="Q69" i="31"/>
  <c r="V68" i="31"/>
  <c r="S68" i="31"/>
  <c r="Q68" i="31"/>
  <c r="V67" i="31"/>
  <c r="S67" i="31"/>
  <c r="Q67" i="31"/>
  <c r="V66" i="31"/>
  <c r="S66" i="31"/>
  <c r="Q66" i="31"/>
  <c r="V65" i="31"/>
  <c r="S65" i="31"/>
  <c r="Q65" i="31"/>
  <c r="V64" i="31"/>
  <c r="S64" i="31"/>
  <c r="Q64" i="31"/>
  <c r="V63" i="31"/>
  <c r="S63" i="31"/>
  <c r="Q63" i="31"/>
  <c r="V62" i="31"/>
  <c r="S62" i="31"/>
  <c r="Q62" i="31"/>
  <c r="V61" i="31"/>
  <c r="S61" i="31"/>
  <c r="Q61" i="31"/>
  <c r="V60" i="31"/>
  <c r="S60" i="31"/>
  <c r="Q60" i="31"/>
  <c r="V59" i="31"/>
  <c r="S59" i="31"/>
  <c r="Q59" i="31"/>
  <c r="V58" i="31"/>
  <c r="S58" i="31"/>
  <c r="Q58" i="31"/>
  <c r="V57" i="31"/>
  <c r="S57" i="31"/>
  <c r="Q57" i="31"/>
  <c r="V56" i="31"/>
  <c r="S56" i="31"/>
  <c r="Q56" i="31"/>
  <c r="V55" i="31"/>
  <c r="S55" i="31"/>
  <c r="Q55" i="31"/>
  <c r="V54" i="31"/>
  <c r="S54" i="31"/>
  <c r="Q54" i="31"/>
  <c r="V53" i="31"/>
  <c r="S53" i="31"/>
  <c r="Q53" i="31"/>
  <c r="V52" i="31"/>
  <c r="S52" i="31"/>
  <c r="Q52" i="31"/>
  <c r="V51" i="31"/>
  <c r="S51" i="31"/>
  <c r="Q51" i="31"/>
  <c r="V50" i="31"/>
  <c r="S50" i="31"/>
  <c r="Q50" i="31"/>
  <c r="V49" i="31"/>
  <c r="S49" i="31"/>
  <c r="Q49" i="31"/>
  <c r="V48" i="31"/>
  <c r="S48" i="31"/>
  <c r="Q48" i="31"/>
  <c r="V47" i="31"/>
  <c r="S47" i="31"/>
  <c r="Q47" i="31"/>
  <c r="V46" i="31"/>
  <c r="S46" i="31"/>
  <c r="Q46" i="31"/>
  <c r="V45" i="31"/>
  <c r="S45" i="31"/>
  <c r="Q45" i="31"/>
  <c r="V44" i="31"/>
  <c r="S44" i="31"/>
  <c r="Q44" i="31"/>
  <c r="V43" i="31"/>
  <c r="S43" i="31"/>
  <c r="Q43" i="31"/>
  <c r="V42" i="31"/>
  <c r="S42" i="31"/>
  <c r="Q42" i="31"/>
  <c r="V41" i="31"/>
  <c r="S41" i="31"/>
  <c r="Q41" i="31"/>
  <c r="V40" i="31"/>
  <c r="S40" i="31"/>
  <c r="Q40" i="31"/>
  <c r="V39" i="31"/>
  <c r="S39" i="31"/>
  <c r="Q39" i="31"/>
  <c r="V38" i="31"/>
  <c r="S38" i="31"/>
  <c r="Q38" i="31"/>
  <c r="V37" i="31"/>
  <c r="S37" i="31"/>
  <c r="Q37" i="31"/>
  <c r="V36" i="31"/>
  <c r="S36" i="31"/>
  <c r="Q36" i="31"/>
  <c r="V35" i="31"/>
  <c r="S35" i="31"/>
  <c r="Q35" i="31"/>
  <c r="V34" i="31"/>
  <c r="S34" i="31"/>
  <c r="Q34" i="31"/>
  <c r="V33" i="31"/>
  <c r="S33" i="31"/>
  <c r="Q33" i="31"/>
  <c r="V32" i="31"/>
  <c r="S32" i="31"/>
  <c r="Q32" i="31"/>
  <c r="V31" i="31"/>
  <c r="S31" i="31"/>
  <c r="Q31" i="31"/>
  <c r="V30" i="31"/>
  <c r="S30" i="31"/>
  <c r="Q30" i="31"/>
  <c r="V29" i="31"/>
  <c r="S29" i="31"/>
  <c r="Q29" i="31"/>
  <c r="V28" i="31"/>
  <c r="S28" i="31"/>
  <c r="Q28" i="31"/>
  <c r="V27" i="31"/>
  <c r="S27" i="31"/>
  <c r="Q27" i="31"/>
  <c r="V26" i="31"/>
  <c r="S26" i="31"/>
  <c r="Q26" i="31"/>
  <c r="V25" i="31"/>
  <c r="S25" i="31"/>
  <c r="Q25" i="31"/>
  <c r="V24" i="31"/>
  <c r="S24" i="31"/>
  <c r="Q24" i="31"/>
  <c r="V23" i="31"/>
  <c r="S23" i="31"/>
  <c r="Q23" i="31"/>
  <c r="V22" i="31"/>
  <c r="S22" i="31"/>
  <c r="Q22" i="31"/>
  <c r="V21" i="31"/>
  <c r="S21" i="31"/>
  <c r="Q21" i="31"/>
  <c r="V20" i="31"/>
  <c r="S20" i="31"/>
  <c r="Q20" i="31"/>
  <c r="V19" i="31"/>
  <c r="S19" i="31"/>
  <c r="Q19" i="31"/>
  <c r="V18" i="31"/>
  <c r="S18" i="31"/>
  <c r="Q18" i="31"/>
  <c r="V17" i="31"/>
  <c r="S17" i="31"/>
  <c r="Q17" i="31"/>
  <c r="V16" i="31"/>
  <c r="S16" i="31"/>
  <c r="Q16" i="31"/>
  <c r="V15" i="31"/>
  <c r="S15" i="31"/>
  <c r="Q15" i="31"/>
  <c r="V14" i="31"/>
  <c r="S14" i="31"/>
  <c r="Q14" i="31"/>
  <c r="V13" i="31"/>
  <c r="S13" i="31"/>
  <c r="Q13" i="31"/>
  <c r="V12" i="31"/>
  <c r="S12" i="31"/>
  <c r="Q12" i="31"/>
  <c r="V11" i="31"/>
  <c r="S11" i="31"/>
  <c r="Q11" i="31"/>
  <c r="V10" i="31"/>
  <c r="S10" i="31"/>
  <c r="Q10" i="31"/>
  <c r="V9" i="31"/>
  <c r="S9" i="31"/>
  <c r="Q9" i="31"/>
  <c r="V8" i="31"/>
  <c r="S8" i="31"/>
  <c r="Q8" i="31"/>
  <c r="V7" i="31"/>
  <c r="S7" i="31"/>
  <c r="Q7" i="31"/>
  <c r="V6" i="31"/>
  <c r="S6" i="31"/>
  <c r="Q6" i="31"/>
  <c r="V5" i="31"/>
  <c r="Q5" i="31"/>
  <c r="W70" i="30"/>
  <c r="U70" i="30"/>
  <c r="R70" i="30"/>
  <c r="W69" i="30"/>
  <c r="U69" i="30"/>
  <c r="R69" i="30"/>
  <c r="W68" i="30"/>
  <c r="U68" i="30"/>
  <c r="R68" i="30"/>
  <c r="W67" i="30"/>
  <c r="U67" i="30"/>
  <c r="R67" i="30"/>
  <c r="W66" i="30"/>
  <c r="U66" i="30"/>
  <c r="R66" i="30"/>
  <c r="W65" i="30"/>
  <c r="U65" i="30"/>
  <c r="R65" i="30"/>
  <c r="W64" i="30"/>
  <c r="U64" i="30"/>
  <c r="R64" i="30"/>
  <c r="W63" i="30"/>
  <c r="U63" i="30"/>
  <c r="R63" i="30"/>
  <c r="W62" i="30"/>
  <c r="U62" i="30"/>
  <c r="R62" i="30"/>
  <c r="W61" i="30"/>
  <c r="U61" i="30"/>
  <c r="R61" i="30"/>
  <c r="W60" i="30"/>
  <c r="U60" i="30"/>
  <c r="R60" i="30"/>
  <c r="W59" i="30"/>
  <c r="U59" i="30"/>
  <c r="R59" i="30"/>
  <c r="W58" i="30"/>
  <c r="U58" i="30"/>
  <c r="R58" i="30"/>
  <c r="W57" i="30"/>
  <c r="U57" i="30"/>
  <c r="R57" i="30"/>
  <c r="W56" i="30"/>
  <c r="U56" i="30"/>
  <c r="R56" i="30"/>
  <c r="W55" i="30"/>
  <c r="U55" i="30"/>
  <c r="R55" i="30"/>
  <c r="W54" i="30"/>
  <c r="U54" i="30"/>
  <c r="R54" i="30"/>
  <c r="W53" i="30"/>
  <c r="U53" i="30"/>
  <c r="R53" i="30"/>
  <c r="W52" i="30"/>
  <c r="U52" i="30"/>
  <c r="R52" i="30"/>
  <c r="W51" i="30"/>
  <c r="U51" i="30"/>
  <c r="R51" i="30"/>
  <c r="W50" i="30"/>
  <c r="U50" i="30"/>
  <c r="R50" i="30"/>
  <c r="W49" i="30"/>
  <c r="U49" i="30"/>
  <c r="R49" i="30"/>
  <c r="W48" i="30"/>
  <c r="U48" i="30"/>
  <c r="R48" i="30"/>
  <c r="W47" i="30"/>
  <c r="U47" i="30"/>
  <c r="R47" i="30"/>
  <c r="W46" i="30"/>
  <c r="U46" i="30"/>
  <c r="R46" i="30"/>
  <c r="W45" i="30"/>
  <c r="U45" i="30"/>
  <c r="R45" i="30"/>
  <c r="W44" i="30"/>
  <c r="U44" i="30"/>
  <c r="R44" i="30"/>
  <c r="W43" i="30"/>
  <c r="U43" i="30"/>
  <c r="R43" i="30"/>
  <c r="W42" i="30"/>
  <c r="U42" i="30"/>
  <c r="R42" i="30"/>
  <c r="W41" i="30"/>
  <c r="U41" i="30"/>
  <c r="R41" i="30"/>
  <c r="W40" i="30"/>
  <c r="U40" i="30"/>
  <c r="R40" i="30"/>
  <c r="W39" i="30"/>
  <c r="U39" i="30"/>
  <c r="R39" i="30"/>
  <c r="W38" i="30"/>
  <c r="U38" i="30"/>
  <c r="R38" i="30"/>
  <c r="W37" i="30"/>
  <c r="U37" i="30"/>
  <c r="R37" i="30"/>
  <c r="W36" i="30"/>
  <c r="U36" i="30"/>
  <c r="R36" i="30"/>
  <c r="W35" i="30"/>
  <c r="U35" i="30"/>
  <c r="R35" i="30"/>
  <c r="W34" i="30"/>
  <c r="U34" i="30"/>
  <c r="R34" i="30"/>
  <c r="W33" i="30"/>
  <c r="U33" i="30"/>
  <c r="R33" i="30"/>
  <c r="W32" i="30"/>
  <c r="U32" i="30"/>
  <c r="R32" i="30"/>
  <c r="W31" i="30"/>
  <c r="U31" i="30"/>
  <c r="R31" i="30"/>
  <c r="W30" i="30"/>
  <c r="U30" i="30"/>
  <c r="R30" i="30"/>
  <c r="W29" i="30"/>
  <c r="U29" i="30"/>
  <c r="R29" i="30"/>
  <c r="W28" i="30"/>
  <c r="U28" i="30"/>
  <c r="R28" i="30"/>
  <c r="W27" i="30"/>
  <c r="U27" i="30"/>
  <c r="R27" i="30"/>
  <c r="W26" i="30"/>
  <c r="U26" i="30"/>
  <c r="R26" i="30"/>
  <c r="W25" i="30"/>
  <c r="U25" i="30"/>
  <c r="R25" i="30"/>
  <c r="W24" i="30"/>
  <c r="U24" i="30"/>
  <c r="R24" i="30"/>
  <c r="W23" i="30"/>
  <c r="U23" i="30"/>
  <c r="R23" i="30"/>
  <c r="W22" i="30"/>
  <c r="U22" i="30"/>
  <c r="R22" i="30"/>
  <c r="W21" i="30"/>
  <c r="U21" i="30"/>
  <c r="R21" i="30"/>
  <c r="W20" i="30"/>
  <c r="U20" i="30"/>
  <c r="R20" i="30"/>
  <c r="W19" i="30"/>
  <c r="U19" i="30"/>
  <c r="R19" i="30"/>
  <c r="W18" i="30"/>
  <c r="U18" i="30"/>
  <c r="R18" i="30"/>
  <c r="W17" i="30"/>
  <c r="U17" i="30"/>
  <c r="R17" i="30"/>
  <c r="W16" i="30"/>
  <c r="U16" i="30"/>
  <c r="R16" i="30"/>
  <c r="W15" i="30"/>
  <c r="U15" i="30"/>
  <c r="R15" i="30"/>
  <c r="W14" i="30"/>
  <c r="U14" i="30"/>
  <c r="R14" i="30"/>
  <c r="W13" i="30"/>
  <c r="U13" i="30"/>
  <c r="R13" i="30"/>
  <c r="W12" i="30"/>
  <c r="U12" i="30"/>
  <c r="R12" i="30"/>
  <c r="W11" i="30"/>
  <c r="U11" i="30"/>
  <c r="R11" i="30"/>
  <c r="W10" i="30"/>
  <c r="U10" i="30"/>
  <c r="R10" i="30"/>
  <c r="W9" i="30"/>
  <c r="U9" i="30"/>
  <c r="R9" i="30"/>
  <c r="W8" i="30"/>
  <c r="U8" i="30"/>
  <c r="R8" i="30"/>
  <c r="W7" i="30"/>
  <c r="U7" i="30"/>
  <c r="R7" i="30"/>
  <c r="W6" i="30"/>
  <c r="U6" i="30"/>
  <c r="R6" i="30"/>
  <c r="W5" i="30"/>
  <c r="U5" i="30"/>
  <c r="R5" i="30"/>
  <c r="X70" i="29"/>
  <c r="U70" i="29"/>
  <c r="R70" i="29"/>
  <c r="X69" i="29"/>
  <c r="U69" i="29"/>
  <c r="R69" i="29"/>
  <c r="X68" i="29"/>
  <c r="U68" i="29"/>
  <c r="R68" i="29"/>
  <c r="X67" i="29"/>
  <c r="U67" i="29"/>
  <c r="R67" i="29"/>
  <c r="X66" i="29"/>
  <c r="U66" i="29"/>
  <c r="R66" i="29"/>
  <c r="X65" i="29"/>
  <c r="U65" i="29"/>
  <c r="R65" i="29"/>
  <c r="X64" i="29"/>
  <c r="U64" i="29"/>
  <c r="R64" i="29"/>
  <c r="X63" i="29"/>
  <c r="U63" i="29"/>
  <c r="R63" i="29"/>
  <c r="X62" i="29"/>
  <c r="U62" i="29"/>
  <c r="R62" i="29"/>
  <c r="X61" i="29"/>
  <c r="U61" i="29"/>
  <c r="R61" i="29"/>
  <c r="X60" i="29"/>
  <c r="U60" i="29"/>
  <c r="R60" i="29"/>
  <c r="X59" i="29"/>
  <c r="U59" i="29"/>
  <c r="R59" i="29"/>
  <c r="X58" i="29"/>
  <c r="U58" i="29"/>
  <c r="R58" i="29"/>
  <c r="X57" i="29"/>
  <c r="U57" i="29"/>
  <c r="R57" i="29"/>
  <c r="X56" i="29"/>
  <c r="U56" i="29"/>
  <c r="R56" i="29"/>
  <c r="X55" i="29"/>
  <c r="U55" i="29"/>
  <c r="R55" i="29"/>
  <c r="X54" i="29"/>
  <c r="U54" i="29"/>
  <c r="R54" i="29"/>
  <c r="X53" i="29"/>
  <c r="U53" i="29"/>
  <c r="R53" i="29"/>
  <c r="X52" i="29"/>
  <c r="U52" i="29"/>
  <c r="R52" i="29"/>
  <c r="X51" i="29"/>
  <c r="U51" i="29"/>
  <c r="R51" i="29"/>
  <c r="X50" i="29"/>
  <c r="U50" i="29"/>
  <c r="R50" i="29"/>
  <c r="X49" i="29"/>
  <c r="U49" i="29"/>
  <c r="R49" i="29"/>
  <c r="X48" i="29"/>
  <c r="U48" i="29"/>
  <c r="R48" i="29"/>
  <c r="X47" i="29"/>
  <c r="U47" i="29"/>
  <c r="R47" i="29"/>
  <c r="X46" i="29"/>
  <c r="U46" i="29"/>
  <c r="R46" i="29"/>
  <c r="X45" i="29"/>
  <c r="U45" i="29"/>
  <c r="R45" i="29"/>
  <c r="X44" i="29"/>
  <c r="U44" i="29"/>
  <c r="R44" i="29"/>
  <c r="X43" i="29"/>
  <c r="U43" i="29"/>
  <c r="R43" i="29"/>
  <c r="X42" i="29"/>
  <c r="U42" i="29"/>
  <c r="R42" i="29"/>
  <c r="X41" i="29"/>
  <c r="U41" i="29"/>
  <c r="R41" i="29"/>
  <c r="X40" i="29"/>
  <c r="U40" i="29"/>
  <c r="R40" i="29"/>
  <c r="X39" i="29"/>
  <c r="U39" i="29"/>
  <c r="R39" i="29"/>
  <c r="X38" i="29"/>
  <c r="U38" i="29"/>
  <c r="R38" i="29"/>
  <c r="X37" i="29"/>
  <c r="U37" i="29"/>
  <c r="R37" i="29"/>
  <c r="X36" i="29"/>
  <c r="U36" i="29"/>
  <c r="R36" i="29"/>
  <c r="X35" i="29"/>
  <c r="U35" i="29"/>
  <c r="R35" i="29"/>
  <c r="X34" i="29"/>
  <c r="U34" i="29"/>
  <c r="R34" i="29"/>
  <c r="X33" i="29"/>
  <c r="U33" i="29"/>
  <c r="R33" i="29"/>
  <c r="X32" i="29"/>
  <c r="U32" i="29"/>
  <c r="R32" i="29"/>
  <c r="X31" i="29"/>
  <c r="U31" i="29"/>
  <c r="R31" i="29"/>
  <c r="X30" i="29"/>
  <c r="U30" i="29"/>
  <c r="R30" i="29"/>
  <c r="X29" i="29"/>
  <c r="U29" i="29"/>
  <c r="R29" i="29"/>
  <c r="X28" i="29"/>
  <c r="U28" i="29"/>
  <c r="R28" i="29"/>
  <c r="X27" i="29"/>
  <c r="U27" i="29"/>
  <c r="R27" i="29"/>
  <c r="X26" i="29"/>
  <c r="U26" i="29"/>
  <c r="R26" i="29"/>
  <c r="X25" i="29"/>
  <c r="U25" i="29"/>
  <c r="R25" i="29"/>
  <c r="X24" i="29"/>
  <c r="U24" i="29"/>
  <c r="R24" i="29"/>
  <c r="X23" i="29"/>
  <c r="U23" i="29"/>
  <c r="R23" i="29"/>
  <c r="X22" i="29"/>
  <c r="U22" i="29"/>
  <c r="R22" i="29"/>
  <c r="X21" i="29"/>
  <c r="U21" i="29"/>
  <c r="R21" i="29"/>
  <c r="X20" i="29"/>
  <c r="U20" i="29"/>
  <c r="R20" i="29"/>
  <c r="X19" i="29"/>
  <c r="U19" i="29"/>
  <c r="R19" i="29"/>
  <c r="X18" i="29"/>
  <c r="U18" i="29"/>
  <c r="R18" i="29"/>
  <c r="X17" i="29"/>
  <c r="U17" i="29"/>
  <c r="R17" i="29"/>
  <c r="X16" i="29"/>
  <c r="U16" i="29"/>
  <c r="R16" i="29"/>
  <c r="X15" i="29"/>
  <c r="U15" i="29"/>
  <c r="R15" i="29"/>
  <c r="X14" i="29"/>
  <c r="U14" i="29"/>
  <c r="R14" i="29"/>
  <c r="X13" i="29"/>
  <c r="U13" i="29"/>
  <c r="R13" i="29"/>
  <c r="X12" i="29"/>
  <c r="U12" i="29"/>
  <c r="R12" i="29"/>
  <c r="X11" i="29"/>
  <c r="U11" i="29"/>
  <c r="R11" i="29"/>
  <c r="X10" i="29"/>
  <c r="U10" i="29"/>
  <c r="R10" i="29"/>
  <c r="X9" i="29"/>
  <c r="U9" i="29"/>
  <c r="R9" i="29"/>
  <c r="X8" i="29"/>
  <c r="U8" i="29"/>
  <c r="R8" i="29"/>
  <c r="X7" i="29"/>
  <c r="U7" i="29"/>
  <c r="R7" i="29"/>
  <c r="X6" i="29"/>
  <c r="U6" i="29"/>
  <c r="R6" i="29"/>
  <c r="X5" i="29"/>
  <c r="U5" i="29"/>
  <c r="R5" i="29"/>
  <c r="U70" i="28"/>
  <c r="S70" i="28"/>
  <c r="Q70" i="28"/>
  <c r="U69" i="28"/>
  <c r="S69" i="28"/>
  <c r="Q69" i="28"/>
  <c r="U68" i="28"/>
  <c r="S68" i="28"/>
  <c r="Q68" i="28"/>
  <c r="U67" i="28"/>
  <c r="S67" i="28"/>
  <c r="Q67" i="28"/>
  <c r="U66" i="28"/>
  <c r="S66" i="28"/>
  <c r="Q66" i="28"/>
  <c r="U65" i="28"/>
  <c r="S65" i="28"/>
  <c r="Q65" i="28"/>
  <c r="U64" i="28"/>
  <c r="S64" i="28"/>
  <c r="Q64" i="28"/>
  <c r="U63" i="28"/>
  <c r="S63" i="28"/>
  <c r="Q63" i="28"/>
  <c r="U62" i="28"/>
  <c r="S62" i="28"/>
  <c r="Q62" i="28"/>
  <c r="U61" i="28"/>
  <c r="S61" i="28"/>
  <c r="Q61" i="28"/>
  <c r="U60" i="28"/>
  <c r="S60" i="28"/>
  <c r="Q60" i="28"/>
  <c r="U59" i="28"/>
  <c r="S59" i="28"/>
  <c r="Q59" i="28"/>
  <c r="U58" i="28"/>
  <c r="S58" i="28"/>
  <c r="Q58" i="28"/>
  <c r="U57" i="28"/>
  <c r="S57" i="28"/>
  <c r="Q57" i="28"/>
  <c r="U56" i="28"/>
  <c r="S56" i="28"/>
  <c r="Q56" i="28"/>
  <c r="U55" i="28"/>
  <c r="S55" i="28"/>
  <c r="Q55" i="28"/>
  <c r="U54" i="28"/>
  <c r="S54" i="28"/>
  <c r="Q54" i="28"/>
  <c r="U53" i="28"/>
  <c r="S53" i="28"/>
  <c r="Q53" i="28"/>
  <c r="U52" i="28"/>
  <c r="S52" i="28"/>
  <c r="Q52" i="28"/>
  <c r="U51" i="28"/>
  <c r="S51" i="28"/>
  <c r="Q51" i="28"/>
  <c r="U50" i="28"/>
  <c r="S50" i="28"/>
  <c r="Q50" i="28"/>
  <c r="U49" i="28"/>
  <c r="S49" i="28"/>
  <c r="Q49" i="28"/>
  <c r="U48" i="28"/>
  <c r="S48" i="28"/>
  <c r="Q48" i="28"/>
  <c r="U47" i="28"/>
  <c r="S47" i="28"/>
  <c r="Q47" i="28"/>
  <c r="U46" i="28"/>
  <c r="S46" i="28"/>
  <c r="Q46" i="28"/>
  <c r="U45" i="28"/>
  <c r="S45" i="28"/>
  <c r="Q45" i="28"/>
  <c r="U44" i="28"/>
  <c r="S44" i="28"/>
  <c r="Q44" i="28"/>
  <c r="U43" i="28"/>
  <c r="S43" i="28"/>
  <c r="Q43" i="28"/>
  <c r="U42" i="28"/>
  <c r="S42" i="28"/>
  <c r="Q42" i="28"/>
  <c r="U41" i="28"/>
  <c r="S41" i="28"/>
  <c r="Q41" i="28"/>
  <c r="U40" i="28"/>
  <c r="S40" i="28"/>
  <c r="Q40" i="28"/>
  <c r="U39" i="28"/>
  <c r="S39" i="28"/>
  <c r="Q39" i="28"/>
  <c r="U38" i="28"/>
  <c r="S38" i="28"/>
  <c r="Q38" i="28"/>
  <c r="U37" i="28"/>
  <c r="S37" i="28"/>
  <c r="Q37" i="28"/>
  <c r="U36" i="28"/>
  <c r="S36" i="28"/>
  <c r="Q36" i="28"/>
  <c r="U35" i="28"/>
  <c r="S35" i="28"/>
  <c r="Q35" i="28"/>
  <c r="U34" i="28"/>
  <c r="S34" i="28"/>
  <c r="Q34" i="28"/>
  <c r="U33" i="28"/>
  <c r="S33" i="28"/>
  <c r="Q33" i="28"/>
  <c r="U32" i="28"/>
  <c r="S32" i="28"/>
  <c r="Q32" i="28"/>
  <c r="U31" i="28"/>
  <c r="S31" i="28"/>
  <c r="Q31" i="28"/>
  <c r="U30" i="28"/>
  <c r="S30" i="28"/>
  <c r="Q30" i="28"/>
  <c r="U29" i="28"/>
  <c r="S29" i="28"/>
  <c r="Q29" i="28"/>
  <c r="U28" i="28"/>
  <c r="S28" i="28"/>
  <c r="Q28" i="28"/>
  <c r="U27" i="28"/>
  <c r="S27" i="28"/>
  <c r="Q27" i="28"/>
  <c r="U26" i="28"/>
  <c r="S26" i="28"/>
  <c r="Q26" i="28"/>
  <c r="U25" i="28"/>
  <c r="S25" i="28"/>
  <c r="Q25" i="28"/>
  <c r="U24" i="28"/>
  <c r="S24" i="28"/>
  <c r="Q24" i="28"/>
  <c r="U23" i="28"/>
  <c r="S23" i="28"/>
  <c r="Q23" i="28"/>
  <c r="U22" i="28"/>
  <c r="S22" i="28"/>
  <c r="Q22" i="28"/>
  <c r="U21" i="28"/>
  <c r="S21" i="28"/>
  <c r="Q21" i="28"/>
  <c r="U20" i="28"/>
  <c r="S20" i="28"/>
  <c r="Q20" i="28"/>
  <c r="U19" i="28"/>
  <c r="S19" i="28"/>
  <c r="Q19" i="28"/>
  <c r="U18" i="28"/>
  <c r="S18" i="28"/>
  <c r="Q18" i="28"/>
  <c r="U17" i="28"/>
  <c r="S17" i="28"/>
  <c r="Q17" i="28"/>
  <c r="U16" i="28"/>
  <c r="S16" i="28"/>
  <c r="Q16" i="28"/>
  <c r="U15" i="28"/>
  <c r="S15" i="28"/>
  <c r="Q15" i="28"/>
  <c r="U14" i="28"/>
  <c r="S14" i="28"/>
  <c r="Q14" i="28"/>
  <c r="U13" i="28"/>
  <c r="S13" i="28"/>
  <c r="Q13" i="28"/>
  <c r="U12" i="28"/>
  <c r="S12" i="28"/>
  <c r="Q12" i="28"/>
  <c r="U11" i="28"/>
  <c r="S11" i="28"/>
  <c r="Q11" i="28"/>
  <c r="U10" i="28"/>
  <c r="S10" i="28"/>
  <c r="Q10" i="28"/>
  <c r="U9" i="28"/>
  <c r="S9" i="28"/>
  <c r="Q9" i="28"/>
  <c r="U8" i="28"/>
  <c r="S8" i="28"/>
  <c r="Q8" i="28"/>
  <c r="U7" i="28"/>
  <c r="S7" i="28"/>
  <c r="Q7" i="28"/>
  <c r="U6" i="28"/>
  <c r="S6" i="28"/>
  <c r="Q6" i="28"/>
  <c r="U5" i="28"/>
  <c r="S5" i="28"/>
  <c r="Q5" i="28"/>
  <c r="BN70" i="27"/>
  <c r="BE70" i="27"/>
  <c r="AW70" i="27"/>
  <c r="BN69" i="27"/>
  <c r="BE69" i="27"/>
  <c r="AW69" i="27"/>
  <c r="BN68" i="27"/>
  <c r="BE68" i="27"/>
  <c r="AW68" i="27"/>
  <c r="BN67" i="27"/>
  <c r="BE67" i="27"/>
  <c r="AW67" i="27"/>
  <c r="BN66" i="27"/>
  <c r="BE66" i="27"/>
  <c r="AW66" i="27"/>
  <c r="BN65" i="27"/>
  <c r="BE65" i="27"/>
  <c r="AW65" i="27"/>
  <c r="BN64" i="27"/>
  <c r="BE64" i="27"/>
  <c r="AW64" i="27"/>
  <c r="BN63" i="27"/>
  <c r="BE63" i="27"/>
  <c r="AW63" i="27"/>
  <c r="BN62" i="27"/>
  <c r="BE62" i="27"/>
  <c r="AW62" i="27"/>
  <c r="BN61" i="27"/>
  <c r="BE61" i="27"/>
  <c r="AW61" i="27"/>
  <c r="BN60" i="27"/>
  <c r="BE60" i="27"/>
  <c r="AW60" i="27"/>
  <c r="BN59" i="27"/>
  <c r="BE59" i="27"/>
  <c r="AW59" i="27"/>
  <c r="BN58" i="27"/>
  <c r="BE58" i="27"/>
  <c r="AW58" i="27"/>
  <c r="BN57" i="27"/>
  <c r="BE57" i="27"/>
  <c r="AW57" i="27"/>
  <c r="BN56" i="27"/>
  <c r="BE56" i="27"/>
  <c r="AW56" i="27"/>
  <c r="BN55" i="27"/>
  <c r="BE55" i="27"/>
  <c r="AW55" i="27"/>
  <c r="BN54" i="27"/>
  <c r="BE54" i="27"/>
  <c r="AW54" i="27"/>
  <c r="BN53" i="27"/>
  <c r="BE53" i="27"/>
  <c r="AW53" i="27"/>
  <c r="BN52" i="27"/>
  <c r="BE52" i="27"/>
  <c r="AW52" i="27"/>
  <c r="BN51" i="27"/>
  <c r="BE51" i="27"/>
  <c r="AW51" i="27"/>
  <c r="BN50" i="27"/>
  <c r="BE50" i="27"/>
  <c r="AW50" i="27"/>
  <c r="BN49" i="27"/>
  <c r="BE49" i="27"/>
  <c r="AW49" i="27"/>
  <c r="BN48" i="27"/>
  <c r="BE48" i="27"/>
  <c r="AW48" i="27"/>
  <c r="BN47" i="27"/>
  <c r="BE47" i="27"/>
  <c r="AW47" i="27"/>
  <c r="BN46" i="27"/>
  <c r="BE46" i="27"/>
  <c r="AW46" i="27"/>
  <c r="BN45" i="27"/>
  <c r="BE45" i="27"/>
  <c r="AW45" i="27"/>
  <c r="BN44" i="27"/>
  <c r="BE44" i="27"/>
  <c r="AW44" i="27"/>
  <c r="BN43" i="27"/>
  <c r="BE43" i="27"/>
  <c r="AW43" i="27"/>
  <c r="BN42" i="27"/>
  <c r="BE42" i="27"/>
  <c r="AW42" i="27"/>
  <c r="BN41" i="27"/>
  <c r="BE41" i="27"/>
  <c r="AW41" i="27"/>
  <c r="BN40" i="27"/>
  <c r="BE40" i="27"/>
  <c r="AW40" i="27"/>
  <c r="BN39" i="27"/>
  <c r="BE39" i="27"/>
  <c r="AW39" i="27"/>
  <c r="BN38" i="27"/>
  <c r="BE38" i="27"/>
  <c r="AW38" i="27"/>
  <c r="BN37" i="27"/>
  <c r="BE37" i="27"/>
  <c r="AW37" i="27"/>
  <c r="BN36" i="27"/>
  <c r="BE36" i="27"/>
  <c r="AW36" i="27"/>
  <c r="BN35" i="27"/>
  <c r="BE35" i="27"/>
  <c r="AW35" i="27"/>
  <c r="BN34" i="27"/>
  <c r="BE34" i="27"/>
  <c r="AW34" i="27"/>
  <c r="BN33" i="27"/>
  <c r="BE33" i="27"/>
  <c r="AW33" i="27"/>
  <c r="BN32" i="27"/>
  <c r="BE32" i="27"/>
  <c r="AW32" i="27"/>
  <c r="BN31" i="27"/>
  <c r="BE31" i="27"/>
  <c r="AW31" i="27"/>
  <c r="BN30" i="27"/>
  <c r="BE30" i="27"/>
  <c r="AW30" i="27"/>
  <c r="BN29" i="27"/>
  <c r="BE29" i="27"/>
  <c r="AW29" i="27"/>
  <c r="BN28" i="27"/>
  <c r="BE28" i="27"/>
  <c r="AW28" i="27"/>
  <c r="BN27" i="27"/>
  <c r="BE27" i="27"/>
  <c r="AW27" i="27"/>
  <c r="BN26" i="27"/>
  <c r="BE26" i="27"/>
  <c r="AW26" i="27"/>
  <c r="BN25" i="27"/>
  <c r="BE25" i="27"/>
  <c r="AW25" i="27"/>
  <c r="BN24" i="27"/>
  <c r="BE24" i="27"/>
  <c r="AW24" i="27"/>
  <c r="BN23" i="27"/>
  <c r="BE23" i="27"/>
  <c r="AW23" i="27"/>
  <c r="BN22" i="27"/>
  <c r="BE22" i="27"/>
  <c r="AW22" i="27"/>
  <c r="BN21" i="27"/>
  <c r="BE21" i="27"/>
  <c r="AW21" i="27"/>
  <c r="BN20" i="27"/>
  <c r="BE20" i="27"/>
  <c r="AW20" i="27"/>
  <c r="BN19" i="27"/>
  <c r="BE19" i="27"/>
  <c r="AW19" i="27"/>
  <c r="BN18" i="27"/>
  <c r="BE18" i="27"/>
  <c r="AW18" i="27"/>
  <c r="BN17" i="27"/>
  <c r="BE17" i="27"/>
  <c r="AW17" i="27"/>
  <c r="BN16" i="27"/>
  <c r="BE16" i="27"/>
  <c r="AW16" i="27"/>
  <c r="BN15" i="27"/>
  <c r="BE15" i="27"/>
  <c r="AW15" i="27"/>
  <c r="BN14" i="27"/>
  <c r="BE14" i="27"/>
  <c r="AW14" i="27"/>
  <c r="BN13" i="27"/>
  <c r="BE13" i="27"/>
  <c r="AW13" i="27"/>
  <c r="BN12" i="27"/>
  <c r="BE12" i="27"/>
  <c r="AW12" i="27"/>
  <c r="BN11" i="27"/>
  <c r="BE11" i="27"/>
  <c r="AW11" i="27"/>
  <c r="BN10" i="27"/>
  <c r="BE10" i="27"/>
  <c r="AW10" i="27"/>
  <c r="BN9" i="27"/>
  <c r="BE9" i="27"/>
  <c r="AW9" i="27"/>
  <c r="BN8" i="27"/>
  <c r="BE8" i="27"/>
  <c r="AW8" i="27"/>
  <c r="BN7" i="27"/>
  <c r="BE7" i="27"/>
  <c r="AW7" i="27"/>
  <c r="BN6" i="27"/>
  <c r="BE6" i="27"/>
  <c r="AW6" i="27"/>
  <c r="BN5" i="27"/>
  <c r="BE5" i="27"/>
  <c r="AW5" i="27"/>
  <c r="BN70" i="26"/>
  <c r="BC70" i="26"/>
  <c r="AU70" i="26"/>
  <c r="BN69" i="26"/>
  <c r="BC69" i="26"/>
  <c r="AU69" i="26"/>
  <c r="BN68" i="26"/>
  <c r="BC68" i="26"/>
  <c r="AU68" i="26"/>
  <c r="BN67" i="26"/>
  <c r="BC67" i="26"/>
  <c r="AU67" i="26"/>
  <c r="BN66" i="26"/>
  <c r="BC66" i="26"/>
  <c r="AU66" i="26"/>
  <c r="BN65" i="26"/>
  <c r="BC65" i="26"/>
  <c r="AU65" i="26"/>
  <c r="BN64" i="26"/>
  <c r="BC64" i="26"/>
  <c r="AU64" i="26"/>
  <c r="BN63" i="26"/>
  <c r="BC63" i="26"/>
  <c r="AU63" i="26"/>
  <c r="BN62" i="26"/>
  <c r="BC62" i="26"/>
  <c r="AU62" i="26"/>
  <c r="BN61" i="26"/>
  <c r="BC61" i="26"/>
  <c r="AU61" i="26"/>
  <c r="BN60" i="26"/>
  <c r="BC60" i="26"/>
  <c r="AU60" i="26"/>
  <c r="BN59" i="26"/>
  <c r="BC59" i="26"/>
  <c r="AU59" i="26"/>
  <c r="BN58" i="26"/>
  <c r="BC58" i="26"/>
  <c r="AU58" i="26"/>
  <c r="BN57" i="26"/>
  <c r="BC57" i="26"/>
  <c r="AU57" i="26"/>
  <c r="BN56" i="26"/>
  <c r="BC56" i="26"/>
  <c r="AU56" i="26"/>
  <c r="BN55" i="26"/>
  <c r="BC55" i="26"/>
  <c r="AU55" i="26"/>
  <c r="BN54" i="26"/>
  <c r="BC54" i="26"/>
  <c r="AU54" i="26"/>
  <c r="BN53" i="26"/>
  <c r="BC53" i="26"/>
  <c r="AU53" i="26"/>
  <c r="BN52" i="26"/>
  <c r="BC52" i="26"/>
  <c r="AU52" i="26"/>
  <c r="BN51" i="26"/>
  <c r="BC51" i="26"/>
  <c r="AU51" i="26"/>
  <c r="BN50" i="26"/>
  <c r="BC50" i="26"/>
  <c r="AU50" i="26"/>
  <c r="BN49" i="26"/>
  <c r="BC49" i="26"/>
  <c r="AU49" i="26"/>
  <c r="BN48" i="26"/>
  <c r="BC48" i="26"/>
  <c r="AU48" i="26"/>
  <c r="BN47" i="26"/>
  <c r="BC47" i="26"/>
  <c r="AU47" i="26"/>
  <c r="BN46" i="26"/>
  <c r="BC46" i="26"/>
  <c r="AU46" i="26"/>
  <c r="BN45" i="26"/>
  <c r="BC45" i="26"/>
  <c r="AU45" i="26"/>
  <c r="BN44" i="26"/>
  <c r="BC44" i="26"/>
  <c r="AU44" i="26"/>
  <c r="BN43" i="26"/>
  <c r="BC43" i="26"/>
  <c r="AU43" i="26"/>
  <c r="BN42" i="26"/>
  <c r="BC42" i="26"/>
  <c r="AU42" i="26"/>
  <c r="BN41" i="26"/>
  <c r="BC41" i="26"/>
  <c r="AU41" i="26"/>
  <c r="BN40" i="26"/>
  <c r="BC40" i="26"/>
  <c r="AU40" i="26"/>
  <c r="BN39" i="26"/>
  <c r="BC39" i="26"/>
  <c r="AU39" i="26"/>
  <c r="BN38" i="26"/>
  <c r="BC38" i="26"/>
  <c r="AU38" i="26"/>
  <c r="BN37" i="26"/>
  <c r="BC37" i="26"/>
  <c r="AU37" i="26"/>
  <c r="BN36" i="26"/>
  <c r="BC36" i="26"/>
  <c r="AU36" i="26"/>
  <c r="BN35" i="26"/>
  <c r="BC35" i="26"/>
  <c r="AU35" i="26"/>
  <c r="BN34" i="26"/>
  <c r="BC34" i="26"/>
  <c r="AU34" i="26"/>
  <c r="BN33" i="26"/>
  <c r="BC33" i="26"/>
  <c r="AU33" i="26"/>
  <c r="BN32" i="26"/>
  <c r="BC32" i="26"/>
  <c r="AU32" i="26"/>
  <c r="BN31" i="26"/>
  <c r="BC31" i="26"/>
  <c r="AU31" i="26"/>
  <c r="BN30" i="26"/>
  <c r="BC30" i="26"/>
  <c r="AU30" i="26"/>
  <c r="BN29" i="26"/>
  <c r="BC29" i="26"/>
  <c r="AU29" i="26"/>
  <c r="BN28" i="26"/>
  <c r="BC28" i="26"/>
  <c r="AU28" i="26"/>
  <c r="BN27" i="26"/>
  <c r="BC27" i="26"/>
  <c r="AU27" i="26"/>
  <c r="BN26" i="26"/>
  <c r="BC26" i="26"/>
  <c r="AU26" i="26"/>
  <c r="BN25" i="26"/>
  <c r="BC25" i="26"/>
  <c r="AU25" i="26"/>
  <c r="BN24" i="26"/>
  <c r="BC24" i="26"/>
  <c r="AU24" i="26"/>
  <c r="BN23" i="26"/>
  <c r="BC23" i="26"/>
  <c r="AU23" i="26"/>
  <c r="BN22" i="26"/>
  <c r="BC22" i="26"/>
  <c r="AU22" i="26"/>
  <c r="BN21" i="26"/>
  <c r="BC21" i="26"/>
  <c r="AU21" i="26"/>
  <c r="BN20" i="26"/>
  <c r="BC20" i="26"/>
  <c r="AU20" i="26"/>
  <c r="BN19" i="26"/>
  <c r="BC19" i="26"/>
  <c r="AU19" i="26"/>
  <c r="BN18" i="26"/>
  <c r="BC18" i="26"/>
  <c r="AU18" i="26"/>
  <c r="BN17" i="26"/>
  <c r="BC17" i="26"/>
  <c r="AU17" i="26"/>
  <c r="BN16" i="26"/>
  <c r="BC16" i="26"/>
  <c r="AU16" i="26"/>
  <c r="BN15" i="26"/>
  <c r="BC15" i="26"/>
  <c r="AU15" i="26"/>
  <c r="BN14" i="26"/>
  <c r="BC14" i="26"/>
  <c r="AU14" i="26"/>
  <c r="BN13" i="26"/>
  <c r="BC13" i="26"/>
  <c r="AU13" i="26"/>
  <c r="BN12" i="26"/>
  <c r="BC12" i="26"/>
  <c r="AU12" i="26"/>
  <c r="BN11" i="26"/>
  <c r="BC11" i="26"/>
  <c r="AU11" i="26"/>
  <c r="BN10" i="26"/>
  <c r="BC10" i="26"/>
  <c r="AU10" i="26"/>
  <c r="BN9" i="26"/>
  <c r="BC9" i="26"/>
  <c r="AU9" i="26"/>
  <c r="BN8" i="26"/>
  <c r="BC8" i="26"/>
  <c r="AU8" i="26"/>
  <c r="BN7" i="26"/>
  <c r="BC7" i="26"/>
  <c r="AU7" i="26"/>
  <c r="BN6" i="26"/>
  <c r="BC6" i="26"/>
  <c r="AU6" i="26"/>
  <c r="BN5" i="26"/>
  <c r="BQ5" i="26" s="1"/>
  <c r="BC5" i="26"/>
  <c r="AU5" i="26"/>
  <c r="BJ70" i="25"/>
  <c r="BA70" i="25"/>
  <c r="AS70" i="25"/>
  <c r="BJ69" i="25"/>
  <c r="BA69" i="25"/>
  <c r="AS69" i="25"/>
  <c r="BJ68" i="25"/>
  <c r="BA68" i="25"/>
  <c r="AS68" i="25"/>
  <c r="BJ67" i="25"/>
  <c r="BA67" i="25"/>
  <c r="AS67" i="25"/>
  <c r="BJ66" i="25"/>
  <c r="BA66" i="25"/>
  <c r="AS66" i="25"/>
  <c r="BJ65" i="25"/>
  <c r="BA65" i="25"/>
  <c r="AS65" i="25"/>
  <c r="BJ64" i="25"/>
  <c r="BA64" i="25"/>
  <c r="AS64" i="25"/>
  <c r="BJ63" i="25"/>
  <c r="BA63" i="25"/>
  <c r="AS63" i="25"/>
  <c r="BJ62" i="25"/>
  <c r="BA62" i="25"/>
  <c r="AS62" i="25"/>
  <c r="BJ61" i="25"/>
  <c r="BA61" i="25"/>
  <c r="AS61" i="25"/>
  <c r="BJ60" i="25"/>
  <c r="BA60" i="25"/>
  <c r="AS60" i="25"/>
  <c r="BJ59" i="25"/>
  <c r="BA59" i="25"/>
  <c r="AS59" i="25"/>
  <c r="BJ58" i="25"/>
  <c r="BA58" i="25"/>
  <c r="AS58" i="25"/>
  <c r="BJ57" i="25"/>
  <c r="BA57" i="25"/>
  <c r="AS57" i="25"/>
  <c r="BJ56" i="25"/>
  <c r="BA56" i="25"/>
  <c r="AS56" i="25"/>
  <c r="BJ55" i="25"/>
  <c r="BA55" i="25"/>
  <c r="AS55" i="25"/>
  <c r="BJ54" i="25"/>
  <c r="BA54" i="25"/>
  <c r="AS54" i="25"/>
  <c r="BJ53" i="25"/>
  <c r="BA53" i="25"/>
  <c r="AS53" i="25"/>
  <c r="BJ52" i="25"/>
  <c r="BA52" i="25"/>
  <c r="AS52" i="25"/>
  <c r="BJ51" i="25"/>
  <c r="BA51" i="25"/>
  <c r="AS51" i="25"/>
  <c r="BJ50" i="25"/>
  <c r="BA50" i="25"/>
  <c r="AS50" i="25"/>
  <c r="BJ49" i="25"/>
  <c r="BA49" i="25"/>
  <c r="AS49" i="25"/>
  <c r="BJ48" i="25"/>
  <c r="BA48" i="25"/>
  <c r="AS48" i="25"/>
  <c r="BJ47" i="25"/>
  <c r="BA47" i="25"/>
  <c r="AS47" i="25"/>
  <c r="BJ46" i="25"/>
  <c r="BA46" i="25"/>
  <c r="AS46" i="25"/>
  <c r="BJ45" i="25"/>
  <c r="BA45" i="25"/>
  <c r="AS45" i="25"/>
  <c r="BJ44" i="25"/>
  <c r="BA44" i="25"/>
  <c r="AS44" i="25"/>
  <c r="BJ43" i="25"/>
  <c r="BA43" i="25"/>
  <c r="AS43" i="25"/>
  <c r="BJ42" i="25"/>
  <c r="BA42" i="25"/>
  <c r="AS42" i="25"/>
  <c r="BJ41" i="25"/>
  <c r="BA41" i="25"/>
  <c r="AS41" i="25"/>
  <c r="BJ40" i="25"/>
  <c r="BA40" i="25"/>
  <c r="AS40" i="25"/>
  <c r="BJ39" i="25"/>
  <c r="BA39" i="25"/>
  <c r="AS39" i="25"/>
  <c r="BJ38" i="25"/>
  <c r="BA38" i="25"/>
  <c r="AS38" i="25"/>
  <c r="BJ37" i="25"/>
  <c r="BA37" i="25"/>
  <c r="AS37" i="25"/>
  <c r="BJ36" i="25"/>
  <c r="BA36" i="25"/>
  <c r="AS36" i="25"/>
  <c r="BJ35" i="25"/>
  <c r="BA35" i="25"/>
  <c r="AS35" i="25"/>
  <c r="BJ34" i="25"/>
  <c r="BA34" i="25"/>
  <c r="AS34" i="25"/>
  <c r="BJ33" i="25"/>
  <c r="BA33" i="25"/>
  <c r="AS33" i="25"/>
  <c r="BJ32" i="25"/>
  <c r="BA32" i="25"/>
  <c r="AS32" i="25"/>
  <c r="BJ31" i="25"/>
  <c r="BA31" i="25"/>
  <c r="AS31" i="25"/>
  <c r="BJ30" i="25"/>
  <c r="BA30" i="25"/>
  <c r="AS30" i="25"/>
  <c r="BJ29" i="25"/>
  <c r="BA29" i="25"/>
  <c r="AS29" i="25"/>
  <c r="BJ28" i="25"/>
  <c r="BA28" i="25"/>
  <c r="AS28" i="25"/>
  <c r="BJ27" i="25"/>
  <c r="BA27" i="25"/>
  <c r="AS27" i="25"/>
  <c r="BJ26" i="25"/>
  <c r="BA26" i="25"/>
  <c r="AS26" i="25"/>
  <c r="BJ25" i="25"/>
  <c r="BA25" i="25"/>
  <c r="AS25" i="25"/>
  <c r="BJ24" i="25"/>
  <c r="BA24" i="25"/>
  <c r="AS24" i="25"/>
  <c r="BJ23" i="25"/>
  <c r="BA23" i="25"/>
  <c r="AS23" i="25"/>
  <c r="BJ22" i="25"/>
  <c r="BA22" i="25"/>
  <c r="AS22" i="25"/>
  <c r="BJ21" i="25"/>
  <c r="BA21" i="25"/>
  <c r="AS21" i="25"/>
  <c r="BJ20" i="25"/>
  <c r="BA20" i="25"/>
  <c r="AS20" i="25"/>
  <c r="BJ19" i="25"/>
  <c r="BA19" i="25"/>
  <c r="AS19" i="25"/>
  <c r="BJ18" i="25"/>
  <c r="BA18" i="25"/>
  <c r="AS18" i="25"/>
  <c r="BJ17" i="25"/>
  <c r="BA17" i="25"/>
  <c r="AS17" i="25"/>
  <c r="BJ16" i="25"/>
  <c r="BA16" i="25"/>
  <c r="AS16" i="25"/>
  <c r="BJ15" i="25"/>
  <c r="BA15" i="25"/>
  <c r="AS15" i="25"/>
  <c r="BJ14" i="25"/>
  <c r="BA14" i="25"/>
  <c r="AS14" i="25"/>
  <c r="BJ13" i="25"/>
  <c r="BA13" i="25"/>
  <c r="AS13" i="25"/>
  <c r="BJ12" i="25"/>
  <c r="BA12" i="25"/>
  <c r="AS12" i="25"/>
  <c r="BJ11" i="25"/>
  <c r="BA11" i="25"/>
  <c r="AS11" i="25"/>
  <c r="BJ10" i="25"/>
  <c r="BA10" i="25"/>
  <c r="AS10" i="25"/>
  <c r="BJ9" i="25"/>
  <c r="BA9" i="25"/>
  <c r="AS9" i="25"/>
  <c r="BJ8" i="25"/>
  <c r="BA8" i="25"/>
  <c r="AS8" i="25"/>
  <c r="BJ7" i="25"/>
  <c r="BA7" i="25"/>
  <c r="AS7" i="25"/>
  <c r="BJ6" i="25"/>
  <c r="BA6" i="25"/>
  <c r="AS6" i="25"/>
  <c r="BJ5" i="25"/>
  <c r="BA5" i="25"/>
  <c r="AS5" i="25"/>
  <c r="BL70" i="24"/>
  <c r="BC70" i="24"/>
  <c r="AV70" i="24"/>
  <c r="BL69" i="24"/>
  <c r="BC69" i="24"/>
  <c r="AV69" i="24"/>
  <c r="BL68" i="24"/>
  <c r="BC68" i="24"/>
  <c r="AV68" i="24"/>
  <c r="BL67" i="24"/>
  <c r="BC67" i="24"/>
  <c r="AV67" i="24"/>
  <c r="BL66" i="24"/>
  <c r="BC66" i="24"/>
  <c r="AV66" i="24"/>
  <c r="BL65" i="24"/>
  <c r="BC65" i="24"/>
  <c r="AV65" i="24"/>
  <c r="BL64" i="24"/>
  <c r="BC64" i="24"/>
  <c r="AV64" i="24"/>
  <c r="BL63" i="24"/>
  <c r="BC63" i="24"/>
  <c r="AV63" i="24"/>
  <c r="BL62" i="24"/>
  <c r="BC62" i="24"/>
  <c r="AV62" i="24"/>
  <c r="BL61" i="24"/>
  <c r="BC61" i="24"/>
  <c r="AV61" i="24"/>
  <c r="BL60" i="24"/>
  <c r="BC60" i="24"/>
  <c r="AV60" i="24"/>
  <c r="BL59" i="24"/>
  <c r="BC59" i="24"/>
  <c r="AV59" i="24"/>
  <c r="BL58" i="24"/>
  <c r="BC58" i="24"/>
  <c r="AV58" i="24"/>
  <c r="BL57" i="24"/>
  <c r="BC57" i="24"/>
  <c r="AV57" i="24"/>
  <c r="BL56" i="24"/>
  <c r="BC56" i="24"/>
  <c r="AV56" i="24"/>
  <c r="BL55" i="24"/>
  <c r="BC55" i="24"/>
  <c r="AV55" i="24"/>
  <c r="BL54" i="24"/>
  <c r="BC54" i="24"/>
  <c r="AV54" i="24"/>
  <c r="BL53" i="24"/>
  <c r="BC53" i="24"/>
  <c r="AV53" i="24"/>
  <c r="BL52" i="24"/>
  <c r="BC52" i="24"/>
  <c r="AV52" i="24"/>
  <c r="BL51" i="24"/>
  <c r="BC51" i="24"/>
  <c r="AV51" i="24"/>
  <c r="BL50" i="24"/>
  <c r="BC50" i="24"/>
  <c r="AV50" i="24"/>
  <c r="BL49" i="24"/>
  <c r="BC49" i="24"/>
  <c r="AV49" i="24"/>
  <c r="BL48" i="24"/>
  <c r="BC48" i="24"/>
  <c r="AV48" i="24"/>
  <c r="BL47" i="24"/>
  <c r="BC47" i="24"/>
  <c r="AV47" i="24"/>
  <c r="BL46" i="24"/>
  <c r="BC46" i="24"/>
  <c r="AV46" i="24"/>
  <c r="BL45" i="24"/>
  <c r="BC45" i="24"/>
  <c r="AV45" i="24"/>
  <c r="BL44" i="24"/>
  <c r="BC44" i="24"/>
  <c r="AV44" i="24"/>
  <c r="BL43" i="24"/>
  <c r="BC43" i="24"/>
  <c r="AV43" i="24"/>
  <c r="BL42" i="24"/>
  <c r="BC42" i="24"/>
  <c r="BL41" i="24"/>
  <c r="BC41" i="24"/>
  <c r="AV41" i="24"/>
  <c r="BL40" i="24"/>
  <c r="BC40" i="24"/>
  <c r="AV40" i="24"/>
  <c r="BL39" i="24"/>
  <c r="BC39" i="24"/>
  <c r="AV39" i="24"/>
  <c r="BL38" i="24"/>
  <c r="BC38" i="24"/>
  <c r="AV38" i="24"/>
  <c r="BL37" i="24"/>
  <c r="BC37" i="24"/>
  <c r="AV37" i="24"/>
  <c r="BL36" i="24"/>
  <c r="BC36" i="24"/>
  <c r="AV36" i="24"/>
  <c r="BL35" i="24"/>
  <c r="BC35" i="24"/>
  <c r="AV35" i="24"/>
  <c r="BL34" i="24"/>
  <c r="BC34" i="24"/>
  <c r="AV34" i="24"/>
  <c r="BL33" i="24"/>
  <c r="BC33" i="24"/>
  <c r="AV33" i="24"/>
  <c r="BL32" i="24"/>
  <c r="BC32" i="24"/>
  <c r="AV32" i="24"/>
  <c r="BL31" i="24"/>
  <c r="BC31" i="24"/>
  <c r="AV31" i="24"/>
  <c r="BL30" i="24"/>
  <c r="BC30" i="24"/>
  <c r="AV30" i="24"/>
  <c r="BL29" i="24"/>
  <c r="BC29" i="24"/>
  <c r="AV29" i="24"/>
  <c r="BL28" i="24"/>
  <c r="BC28" i="24"/>
  <c r="AV28" i="24"/>
  <c r="BL27" i="24"/>
  <c r="BC27" i="24"/>
  <c r="AV27" i="24"/>
  <c r="BL26" i="24"/>
  <c r="BC26" i="24"/>
  <c r="AV26" i="24"/>
  <c r="BL25" i="24"/>
  <c r="BC25" i="24"/>
  <c r="AV25" i="24"/>
  <c r="BL24" i="24"/>
  <c r="BC24" i="24"/>
  <c r="AV24" i="24"/>
  <c r="BL23" i="24"/>
  <c r="BC23" i="24"/>
  <c r="AV23" i="24"/>
  <c r="BL22" i="24"/>
  <c r="BC22" i="24"/>
  <c r="AV22" i="24"/>
  <c r="BL21" i="24"/>
  <c r="BC21" i="24"/>
  <c r="AV21" i="24"/>
  <c r="BL20" i="24"/>
  <c r="BC20" i="24"/>
  <c r="AV20" i="24"/>
  <c r="BL19" i="24"/>
  <c r="BC19" i="24"/>
  <c r="AV19" i="24"/>
  <c r="BL18" i="24"/>
  <c r="BC18" i="24"/>
  <c r="AV18" i="24"/>
  <c r="BL17" i="24"/>
  <c r="BC17" i="24"/>
  <c r="AV17" i="24"/>
  <c r="BL16" i="24"/>
  <c r="BC16" i="24"/>
  <c r="AV16" i="24"/>
  <c r="BL15" i="24"/>
  <c r="BC15" i="24"/>
  <c r="AV15" i="24"/>
  <c r="BL14" i="24"/>
  <c r="BC14" i="24"/>
  <c r="AV14" i="24"/>
  <c r="BL13" i="24"/>
  <c r="BC13" i="24"/>
  <c r="AV13" i="24"/>
  <c r="BL12" i="24"/>
  <c r="BC12" i="24"/>
  <c r="AV12" i="24"/>
  <c r="BL11" i="24"/>
  <c r="BC11" i="24"/>
  <c r="AV11" i="24"/>
  <c r="BL10" i="24"/>
  <c r="BC10" i="24"/>
  <c r="AV10" i="24"/>
  <c r="BL9" i="24"/>
  <c r="BC9" i="24"/>
  <c r="AV9" i="24"/>
  <c r="BL8" i="24"/>
  <c r="BC8" i="24"/>
  <c r="AV8" i="24"/>
  <c r="BL7" i="24"/>
  <c r="BC7" i="24"/>
  <c r="AV7" i="24"/>
  <c r="BL6" i="24"/>
  <c r="BC6" i="24"/>
  <c r="AV6" i="24"/>
  <c r="BL5" i="24"/>
  <c r="BC5" i="24"/>
  <c r="AV5" i="24"/>
  <c r="BM70" i="23"/>
  <c r="BE70" i="23"/>
  <c r="AW70" i="23"/>
  <c r="BM69" i="23"/>
  <c r="BE69" i="23"/>
  <c r="AW69" i="23"/>
  <c r="BM68" i="23"/>
  <c r="BE68" i="23"/>
  <c r="AW68" i="23"/>
  <c r="BM67" i="23"/>
  <c r="BE67" i="23"/>
  <c r="AW67" i="23"/>
  <c r="BM66" i="23"/>
  <c r="BE66" i="23"/>
  <c r="AW66" i="23"/>
  <c r="BM65" i="23"/>
  <c r="BE65" i="23"/>
  <c r="AW65" i="23"/>
  <c r="BM64" i="23"/>
  <c r="BE64" i="23"/>
  <c r="AW64" i="23"/>
  <c r="BM63" i="23"/>
  <c r="BE63" i="23"/>
  <c r="AW63" i="23"/>
  <c r="BM62" i="23"/>
  <c r="BE62" i="23"/>
  <c r="AW62" i="23"/>
  <c r="BM61" i="23"/>
  <c r="BE61" i="23"/>
  <c r="AW61" i="23"/>
  <c r="BM60" i="23"/>
  <c r="BE60" i="23"/>
  <c r="AW60" i="23"/>
  <c r="BM59" i="23"/>
  <c r="BE59" i="23"/>
  <c r="AW59" i="23"/>
  <c r="BM58" i="23"/>
  <c r="BE58" i="23"/>
  <c r="AW58" i="23"/>
  <c r="BM57" i="23"/>
  <c r="BE57" i="23"/>
  <c r="AW57" i="23"/>
  <c r="BM56" i="23"/>
  <c r="BE56" i="23"/>
  <c r="AW56" i="23"/>
  <c r="BM55" i="23"/>
  <c r="BE55" i="23"/>
  <c r="AW55" i="23"/>
  <c r="BM54" i="23"/>
  <c r="BE54" i="23"/>
  <c r="AW54" i="23"/>
  <c r="BM53" i="23"/>
  <c r="BE53" i="23"/>
  <c r="AW53" i="23"/>
  <c r="BM52" i="23"/>
  <c r="BE52" i="23"/>
  <c r="AW52" i="23"/>
  <c r="BM51" i="23"/>
  <c r="BE51" i="23"/>
  <c r="AW51" i="23"/>
  <c r="BM50" i="23"/>
  <c r="BE50" i="23"/>
  <c r="AW50" i="23"/>
  <c r="BM49" i="23"/>
  <c r="BE49" i="23"/>
  <c r="AW49" i="23"/>
  <c r="BM48" i="23"/>
  <c r="BE48" i="23"/>
  <c r="AW48" i="23"/>
  <c r="BM47" i="23"/>
  <c r="BE47" i="23"/>
  <c r="AW47" i="23"/>
  <c r="BM46" i="23"/>
  <c r="BE46" i="23"/>
  <c r="AW46" i="23"/>
  <c r="BM45" i="23"/>
  <c r="BE45" i="23"/>
  <c r="AW45" i="23"/>
  <c r="BM44" i="23"/>
  <c r="BE44" i="23"/>
  <c r="AW44" i="23"/>
  <c r="BM43" i="23"/>
  <c r="BE43" i="23"/>
  <c r="AW43" i="23"/>
  <c r="BM42" i="23"/>
  <c r="BE42" i="23"/>
  <c r="AW42" i="23"/>
  <c r="BM41" i="23"/>
  <c r="BE41" i="23"/>
  <c r="AW41" i="23"/>
  <c r="BM40" i="23"/>
  <c r="BE40" i="23"/>
  <c r="AW40" i="23"/>
  <c r="BM39" i="23"/>
  <c r="BE39" i="23"/>
  <c r="AW39" i="23"/>
  <c r="BM38" i="23"/>
  <c r="BE38" i="23"/>
  <c r="AW38" i="23"/>
  <c r="BM37" i="23"/>
  <c r="BE37" i="23"/>
  <c r="AW37" i="23"/>
  <c r="BM36" i="23"/>
  <c r="BE36" i="23"/>
  <c r="AW36" i="23"/>
  <c r="BM35" i="23"/>
  <c r="BE35" i="23"/>
  <c r="AW35" i="23"/>
  <c r="BM34" i="23"/>
  <c r="BE34" i="23"/>
  <c r="AW34" i="23"/>
  <c r="BM33" i="23"/>
  <c r="BE33" i="23"/>
  <c r="AW33" i="23"/>
  <c r="BM32" i="23"/>
  <c r="BE32" i="23"/>
  <c r="AW32" i="23"/>
  <c r="BM31" i="23"/>
  <c r="BE31" i="23"/>
  <c r="AW31" i="23"/>
  <c r="BM30" i="23"/>
  <c r="BE30" i="23"/>
  <c r="AW30" i="23"/>
  <c r="BM29" i="23"/>
  <c r="BE29" i="23"/>
  <c r="AW29" i="23"/>
  <c r="BM28" i="23"/>
  <c r="BE28" i="23"/>
  <c r="AW28" i="23"/>
  <c r="BM27" i="23"/>
  <c r="BE27" i="23"/>
  <c r="AW27" i="23"/>
  <c r="BM26" i="23"/>
  <c r="BE26" i="23"/>
  <c r="AW26" i="23"/>
  <c r="BM25" i="23"/>
  <c r="BE25" i="23"/>
  <c r="AW25" i="23"/>
  <c r="BM24" i="23"/>
  <c r="BE24" i="23"/>
  <c r="AW24" i="23"/>
  <c r="BM23" i="23"/>
  <c r="BE23" i="23"/>
  <c r="AW23" i="23"/>
  <c r="BM22" i="23"/>
  <c r="BE22" i="23"/>
  <c r="AW22" i="23"/>
  <c r="BM21" i="23"/>
  <c r="BE21" i="23"/>
  <c r="AW21" i="23"/>
  <c r="BM20" i="23"/>
  <c r="BE20" i="23"/>
  <c r="AW20" i="23"/>
  <c r="BM19" i="23"/>
  <c r="BE19" i="23"/>
  <c r="AW19" i="23"/>
  <c r="BM18" i="23"/>
  <c r="BE18" i="23"/>
  <c r="AW18" i="23"/>
  <c r="BM17" i="23"/>
  <c r="BE17" i="23"/>
  <c r="AW17" i="23"/>
  <c r="BM16" i="23"/>
  <c r="BE16" i="23"/>
  <c r="AW16" i="23"/>
  <c r="BM15" i="23"/>
  <c r="BE15" i="23"/>
  <c r="AW15" i="23"/>
  <c r="BM14" i="23"/>
  <c r="BE14" i="23"/>
  <c r="AW14" i="23"/>
  <c r="BM13" i="23"/>
  <c r="BE13" i="23"/>
  <c r="AW13" i="23"/>
  <c r="BM12" i="23"/>
  <c r="BE12" i="23"/>
  <c r="AW12" i="23"/>
  <c r="BM11" i="23"/>
  <c r="BE11" i="23"/>
  <c r="AW11" i="23"/>
  <c r="BM10" i="23"/>
  <c r="BE10" i="23"/>
  <c r="AW10" i="23"/>
  <c r="BM9" i="23"/>
  <c r="BE9" i="23"/>
  <c r="AW9" i="23"/>
  <c r="BM8" i="23"/>
  <c r="BE8" i="23"/>
  <c r="AW8" i="23"/>
  <c r="BM7" i="23"/>
  <c r="BE7" i="23"/>
  <c r="AW7" i="23"/>
  <c r="BM6" i="23"/>
  <c r="BE6" i="23"/>
  <c r="AW6" i="23"/>
  <c r="BM5" i="23"/>
  <c r="BE5" i="23"/>
  <c r="AW5" i="23"/>
  <c r="BP5" i="12"/>
  <c r="BP6" i="12"/>
  <c r="BP7" i="12"/>
  <c r="BP8" i="12"/>
  <c r="BP9" i="12"/>
  <c r="BP10" i="12"/>
  <c r="BP11" i="12"/>
  <c r="BP12" i="12"/>
  <c r="BP13" i="12"/>
  <c r="BP14" i="12"/>
  <c r="BP15" i="12"/>
  <c r="BP16" i="12"/>
  <c r="BP17" i="12"/>
  <c r="BP18" i="12"/>
  <c r="BP19" i="12"/>
  <c r="BP20" i="12"/>
  <c r="BP21" i="12"/>
  <c r="BP22" i="12"/>
  <c r="BP23" i="12"/>
  <c r="BP24" i="12"/>
  <c r="BP25" i="12"/>
  <c r="BP26" i="12"/>
  <c r="BP27" i="12"/>
  <c r="BP28" i="12"/>
  <c r="BP29" i="12"/>
  <c r="BP30" i="12"/>
  <c r="BP31" i="12"/>
  <c r="BP32" i="12"/>
  <c r="BP33" i="12"/>
  <c r="BP34" i="12"/>
  <c r="BP35" i="12"/>
  <c r="BP36" i="12"/>
  <c r="BP37" i="12"/>
  <c r="BP38" i="12"/>
  <c r="BP39" i="12"/>
  <c r="BP40" i="12"/>
  <c r="BP41" i="12"/>
  <c r="BP42" i="12"/>
  <c r="BP43" i="12"/>
  <c r="BP44" i="12"/>
  <c r="BP45" i="12"/>
  <c r="BP46" i="12"/>
  <c r="BP47" i="12"/>
  <c r="BP48" i="12"/>
  <c r="BP49" i="12"/>
  <c r="BP50" i="12"/>
  <c r="BP51" i="12"/>
  <c r="BP52" i="12"/>
  <c r="BP53" i="12"/>
  <c r="BP54" i="12"/>
  <c r="BP55" i="12"/>
  <c r="BP56" i="12"/>
  <c r="BP57" i="12"/>
  <c r="BP58" i="12"/>
  <c r="BP59" i="12"/>
  <c r="BP60" i="12"/>
  <c r="BP61" i="12"/>
  <c r="BP62" i="12"/>
  <c r="BP63" i="12"/>
  <c r="BP64" i="12"/>
  <c r="BP65" i="12"/>
  <c r="BP66" i="12"/>
  <c r="BP67" i="12"/>
  <c r="BP68" i="12"/>
  <c r="BP69" i="12"/>
  <c r="BP70" i="12"/>
  <c r="CM70" i="12"/>
  <c r="CM69" i="12"/>
  <c r="CM68" i="12"/>
  <c r="CM67" i="12"/>
  <c r="CM66" i="12"/>
  <c r="CM65" i="12"/>
  <c r="CM64" i="12"/>
  <c r="CM63" i="12"/>
  <c r="CM62" i="12"/>
  <c r="CM61" i="12"/>
  <c r="CM60" i="12"/>
  <c r="CM59" i="12"/>
  <c r="CM58" i="12"/>
  <c r="CM57" i="12"/>
  <c r="CM56" i="12"/>
  <c r="CM55" i="12"/>
  <c r="CM54" i="12"/>
  <c r="CM53" i="12"/>
  <c r="CM52" i="12"/>
  <c r="CM51" i="12"/>
  <c r="CM50" i="12"/>
  <c r="CM49" i="12"/>
  <c r="CM48" i="12"/>
  <c r="CM47" i="12"/>
  <c r="CM46" i="12"/>
  <c r="CM45" i="12"/>
  <c r="CM44" i="12"/>
  <c r="CM43" i="12"/>
  <c r="CM42" i="12"/>
  <c r="CM41" i="12"/>
  <c r="CM40" i="12"/>
  <c r="CM39" i="12"/>
  <c r="CM38" i="12"/>
  <c r="CM37" i="12"/>
  <c r="CM36" i="12"/>
  <c r="CM35" i="12"/>
  <c r="CM34" i="12"/>
  <c r="CM33" i="12"/>
  <c r="CM32" i="12"/>
  <c r="CM31" i="12"/>
  <c r="CM30" i="12"/>
  <c r="CM29" i="12"/>
  <c r="CM28" i="12"/>
  <c r="CM27" i="12"/>
  <c r="CM26" i="12"/>
  <c r="CM25" i="12"/>
  <c r="CM24" i="12"/>
  <c r="CM23" i="12"/>
  <c r="CM22" i="12"/>
  <c r="CM21" i="12"/>
  <c r="CM20" i="12"/>
  <c r="CM19" i="12"/>
  <c r="CM18" i="12"/>
  <c r="CM17" i="12"/>
  <c r="CM16" i="12"/>
  <c r="CM15" i="12"/>
  <c r="CM14" i="12"/>
  <c r="CM13" i="12"/>
  <c r="CM12" i="12"/>
  <c r="CM11" i="12"/>
  <c r="CM10" i="12"/>
  <c r="CM9" i="12"/>
  <c r="CM8" i="12"/>
  <c r="CM7" i="12"/>
  <c r="CM6" i="12"/>
  <c r="CM5" i="12"/>
  <c r="BZ70" i="12"/>
  <c r="BZ69" i="12"/>
  <c r="BZ68" i="12"/>
  <c r="BZ67" i="12"/>
  <c r="BZ66" i="12"/>
  <c r="BZ65" i="12"/>
  <c r="BZ64" i="12"/>
  <c r="BZ63" i="12"/>
  <c r="BZ62" i="12"/>
  <c r="BZ61" i="12"/>
  <c r="BZ60" i="12"/>
  <c r="BZ59" i="12"/>
  <c r="BZ58" i="12"/>
  <c r="BZ57" i="12"/>
  <c r="BZ56" i="12"/>
  <c r="BZ55" i="12"/>
  <c r="BZ54" i="12"/>
  <c r="BZ53" i="12"/>
  <c r="BZ52" i="12"/>
  <c r="BZ51" i="12"/>
  <c r="BZ50" i="12"/>
  <c r="BZ49" i="12"/>
  <c r="BZ48" i="12"/>
  <c r="BZ47" i="12"/>
  <c r="BZ46" i="12"/>
  <c r="BZ45" i="12"/>
  <c r="BZ44" i="12"/>
  <c r="BZ43" i="12"/>
  <c r="BZ42" i="12"/>
  <c r="BZ41" i="12"/>
  <c r="BZ40" i="12"/>
  <c r="BZ39" i="12"/>
  <c r="BZ38" i="12"/>
  <c r="BZ37" i="12"/>
  <c r="BZ36" i="12"/>
  <c r="BZ35" i="12"/>
  <c r="BZ34" i="12"/>
  <c r="BZ33" i="12"/>
  <c r="BZ32" i="12"/>
  <c r="BZ31" i="12"/>
  <c r="BZ30" i="12"/>
  <c r="BZ29" i="12"/>
  <c r="BZ28" i="12"/>
  <c r="BZ27" i="12"/>
  <c r="BZ26" i="12"/>
  <c r="BZ25" i="12"/>
  <c r="BZ24" i="12"/>
  <c r="BZ23" i="12"/>
  <c r="BZ22" i="12"/>
  <c r="BZ21" i="12"/>
  <c r="BZ20" i="12"/>
  <c r="BZ19" i="12"/>
  <c r="BZ18" i="12"/>
  <c r="BZ17" i="12"/>
  <c r="BZ16" i="12"/>
  <c r="BZ15" i="12"/>
  <c r="BZ14" i="12"/>
  <c r="BZ13" i="12"/>
  <c r="BZ12" i="12"/>
  <c r="BZ11" i="12"/>
  <c r="BZ10" i="12"/>
  <c r="BZ9" i="12"/>
  <c r="BZ8" i="12"/>
  <c r="BZ7" i="12"/>
  <c r="BZ6" i="12"/>
  <c r="BZ5" i="12"/>
  <c r="Y5" i="32" l="1"/>
  <c r="AL62" i="26"/>
  <c r="AD62" i="26"/>
  <c r="V62" i="26"/>
  <c r="M62" i="26"/>
  <c r="AL56" i="26"/>
  <c r="AD56" i="26"/>
  <c r="V56" i="26"/>
  <c r="M56" i="26"/>
  <c r="AL55" i="26"/>
  <c r="AD55" i="26"/>
  <c r="V55" i="26"/>
  <c r="M55" i="26"/>
  <c r="AL51" i="26"/>
  <c r="AD51" i="26"/>
  <c r="V51" i="26"/>
  <c r="M51" i="26"/>
  <c r="AL48" i="26"/>
  <c r="AD48" i="26"/>
  <c r="V48" i="26"/>
  <c r="M48" i="26"/>
  <c r="AL46" i="26"/>
  <c r="AD46" i="26"/>
  <c r="V46" i="26"/>
  <c r="M46" i="26"/>
  <c r="AL41" i="26"/>
  <c r="AD41" i="26"/>
  <c r="V41" i="26"/>
  <c r="M41" i="26"/>
  <c r="AL40" i="26"/>
  <c r="AD40" i="26"/>
  <c r="V40" i="26"/>
  <c r="M40" i="26"/>
  <c r="AL37" i="26"/>
  <c r="AD37" i="26"/>
  <c r="V37" i="26"/>
  <c r="M37" i="26"/>
  <c r="AL35" i="26"/>
  <c r="AD35" i="26"/>
  <c r="V35" i="26"/>
  <c r="M35" i="26"/>
  <c r="AL32" i="26"/>
  <c r="AD32" i="26"/>
  <c r="V32" i="26"/>
  <c r="M32" i="26"/>
  <c r="AL30" i="26"/>
  <c r="AD30" i="26"/>
  <c r="V30" i="26"/>
  <c r="M30" i="26"/>
  <c r="AL27" i="26"/>
  <c r="AD27" i="26"/>
  <c r="V27" i="26"/>
  <c r="M27" i="26"/>
  <c r="AL25" i="26"/>
  <c r="AD25" i="26"/>
  <c r="V25" i="26"/>
  <c r="M25" i="26"/>
  <c r="AL24" i="26"/>
  <c r="AD24" i="26"/>
  <c r="V24" i="26"/>
  <c r="M24" i="26"/>
  <c r="AL21" i="26"/>
  <c r="AD21" i="26"/>
  <c r="V21" i="26"/>
  <c r="M21" i="26"/>
  <c r="AL18" i="26"/>
  <c r="AD18" i="26"/>
  <c r="V18" i="26"/>
  <c r="M18" i="26"/>
  <c r="AL16" i="26"/>
  <c r="AD16" i="26"/>
  <c r="V16" i="26"/>
  <c r="M16" i="26"/>
  <c r="AL66" i="26"/>
  <c r="AD66" i="26"/>
  <c r="V66" i="26"/>
  <c r="M66" i="26"/>
  <c r="AL63" i="26"/>
  <c r="AD63" i="26"/>
  <c r="V63" i="26"/>
  <c r="M63" i="26"/>
  <c r="AL68" i="26"/>
  <c r="AD68" i="26"/>
  <c r="V68" i="26"/>
  <c r="M68" i="26"/>
  <c r="AL59" i="26"/>
  <c r="AD59" i="26"/>
  <c r="V59" i="26"/>
  <c r="M59" i="26"/>
  <c r="AL52" i="26"/>
  <c r="AD52" i="26"/>
  <c r="V52" i="26"/>
  <c r="M52" i="26"/>
  <c r="AL44" i="26"/>
  <c r="AD44" i="26"/>
  <c r="V44" i="26"/>
  <c r="M44" i="26"/>
  <c r="AL39" i="26"/>
  <c r="AD39" i="26"/>
  <c r="V39" i="26"/>
  <c r="M39" i="26"/>
  <c r="AL34" i="26"/>
  <c r="AD34" i="26"/>
  <c r="V34" i="26"/>
  <c r="M34" i="26"/>
  <c r="AL29" i="26"/>
  <c r="AD29" i="26"/>
  <c r="V29" i="26"/>
  <c r="M29" i="26"/>
  <c r="AL22" i="26"/>
  <c r="AD22" i="26"/>
  <c r="V22" i="26"/>
  <c r="M22" i="26"/>
  <c r="AL17" i="26"/>
  <c r="AD17" i="26"/>
  <c r="V17" i="26"/>
  <c r="M17" i="26"/>
  <c r="AL13" i="26"/>
  <c r="AD13" i="26"/>
  <c r="V13" i="26"/>
  <c r="M13" i="26"/>
  <c r="AL69" i="26"/>
  <c r="AD69" i="26"/>
  <c r="V69" i="26"/>
  <c r="M69" i="26"/>
  <c r="AL58" i="26"/>
  <c r="AD58" i="26"/>
  <c r="V58" i="26"/>
  <c r="M58" i="26"/>
  <c r="AL65" i="26"/>
  <c r="AD65" i="26"/>
  <c r="V65" i="26"/>
  <c r="M65" i="26"/>
  <c r="AL60" i="26"/>
  <c r="AD60" i="26"/>
  <c r="V60" i="26"/>
  <c r="M60" i="26"/>
  <c r="AL47" i="26"/>
  <c r="AD47" i="26"/>
  <c r="V47" i="26"/>
  <c r="M47" i="26"/>
  <c r="AL54" i="26"/>
  <c r="AD54" i="26"/>
  <c r="V54" i="26"/>
  <c r="M54" i="26"/>
  <c r="AL50" i="26"/>
  <c r="AD50" i="26"/>
  <c r="V50" i="26"/>
  <c r="M50" i="26"/>
  <c r="AL43" i="26"/>
  <c r="AD43" i="26"/>
  <c r="V43" i="26"/>
  <c r="M43" i="26"/>
  <c r="AL36" i="26"/>
  <c r="AD36" i="26"/>
  <c r="V36" i="26"/>
  <c r="M36" i="26"/>
  <c r="AL31" i="26"/>
  <c r="AD31" i="26"/>
  <c r="V31" i="26"/>
  <c r="M31" i="26"/>
  <c r="AL26" i="26"/>
  <c r="AD26" i="26"/>
  <c r="V26" i="26"/>
  <c r="M26" i="26"/>
  <c r="AL20" i="26"/>
  <c r="AD20" i="26"/>
  <c r="V20" i="26"/>
  <c r="M20" i="26"/>
  <c r="AL14" i="26"/>
  <c r="AD14" i="26"/>
  <c r="V14" i="26"/>
  <c r="M14" i="26"/>
  <c r="AL10" i="26"/>
  <c r="AD10" i="26"/>
  <c r="V10" i="26"/>
  <c r="M10" i="26"/>
  <c r="AL70" i="26"/>
  <c r="AD70" i="26"/>
  <c r="V70" i="26"/>
  <c r="M70" i="26"/>
  <c r="AL67" i="26"/>
  <c r="AD67" i="26"/>
  <c r="V67" i="26"/>
  <c r="M67" i="26"/>
  <c r="AL64" i="26"/>
  <c r="AD64" i="26"/>
  <c r="V64" i="26"/>
  <c r="M64" i="26"/>
  <c r="AL61" i="26"/>
  <c r="AD61" i="26"/>
  <c r="V61" i="26"/>
  <c r="M61" i="26"/>
  <c r="AL57" i="26"/>
  <c r="AD57" i="26"/>
  <c r="V57" i="26"/>
  <c r="M57" i="26"/>
  <c r="AL53" i="26"/>
  <c r="AD53" i="26"/>
  <c r="V53" i="26"/>
  <c r="M53" i="26"/>
  <c r="AL49" i="26"/>
  <c r="AD49" i="26"/>
  <c r="V49" i="26"/>
  <c r="M49" i="26"/>
  <c r="AL45" i="26"/>
  <c r="AD45" i="26"/>
  <c r="V45" i="26"/>
  <c r="M45" i="26"/>
  <c r="AL42" i="26"/>
  <c r="AD42" i="26"/>
  <c r="V42" i="26"/>
  <c r="M42" i="26"/>
  <c r="AL38" i="26"/>
  <c r="AD38" i="26"/>
  <c r="V38" i="26"/>
  <c r="M38" i="26"/>
  <c r="AL33" i="26"/>
  <c r="AD33" i="26"/>
  <c r="V33" i="26"/>
  <c r="M33" i="26"/>
  <c r="AL28" i="26"/>
  <c r="AD28" i="26"/>
  <c r="V28" i="26"/>
  <c r="M28" i="26"/>
  <c r="AL23" i="26"/>
  <c r="AD23" i="26"/>
  <c r="V23" i="26"/>
  <c r="M23" i="26"/>
  <c r="AL19" i="26"/>
  <c r="AD19" i="26"/>
  <c r="V19" i="26"/>
  <c r="M19" i="26"/>
  <c r="AL15" i="26"/>
  <c r="AD15" i="26"/>
  <c r="V15" i="26"/>
  <c r="M15" i="26"/>
  <c r="AL12" i="26"/>
  <c r="AD12" i="26"/>
  <c r="V12" i="26"/>
  <c r="M12" i="26"/>
  <c r="AL9" i="26"/>
  <c r="AD9" i="26"/>
  <c r="V9" i="26"/>
  <c r="M9" i="26"/>
  <c r="BQ9" i="26" l="1"/>
  <c r="BR9" i="26" s="1"/>
  <c r="BQ15" i="26"/>
  <c r="BR15" i="26" s="1"/>
  <c r="BQ23" i="26"/>
  <c r="BR23" i="26" s="1"/>
  <c r="BQ33" i="26"/>
  <c r="BR33" i="26" s="1"/>
  <c r="BQ42" i="26"/>
  <c r="BR42" i="26" s="1"/>
  <c r="BQ53" i="26"/>
  <c r="BR53" i="26" s="1"/>
  <c r="BQ61" i="26"/>
  <c r="BR61" i="26" s="1"/>
  <c r="BQ67" i="26"/>
  <c r="BR67" i="26" s="1"/>
  <c r="BQ10" i="26"/>
  <c r="BR10" i="26" s="1"/>
  <c r="BQ20" i="26"/>
  <c r="BR20" i="26" s="1"/>
  <c r="BQ31" i="26"/>
  <c r="BR31" i="26" s="1"/>
  <c r="BQ43" i="26"/>
  <c r="BR43" i="26" s="1"/>
  <c r="BQ54" i="26"/>
  <c r="BR54" i="26" s="1"/>
  <c r="BQ60" i="26"/>
  <c r="BR60" i="26" s="1"/>
  <c r="BQ58" i="26"/>
  <c r="BR58" i="26" s="1"/>
  <c r="BQ69" i="26"/>
  <c r="BR69" i="26" s="1"/>
  <c r="BQ13" i="26"/>
  <c r="BR13" i="26" s="1"/>
  <c r="BQ22" i="26"/>
  <c r="BR22" i="26" s="1"/>
  <c r="BQ29" i="26"/>
  <c r="BR29" i="26" s="1"/>
  <c r="BQ34" i="26"/>
  <c r="BR34" i="26" s="1"/>
  <c r="BQ39" i="26"/>
  <c r="BR39" i="26" s="1"/>
  <c r="BQ44" i="26"/>
  <c r="BR44" i="26" s="1"/>
  <c r="BQ52" i="26"/>
  <c r="BR52" i="26" s="1"/>
  <c r="BQ59" i="26"/>
  <c r="BR59" i="26" s="1"/>
  <c r="BQ68" i="26"/>
  <c r="BR68" i="26" s="1"/>
  <c r="BQ63" i="26"/>
  <c r="BR63" i="26" s="1"/>
  <c r="BQ66" i="26"/>
  <c r="BR66" i="26" s="1"/>
  <c r="BQ16" i="26"/>
  <c r="BR16" i="26" s="1"/>
  <c r="BQ18" i="26"/>
  <c r="BR18" i="26" s="1"/>
  <c r="BQ21" i="26"/>
  <c r="BR21" i="26" s="1"/>
  <c r="BQ24" i="26"/>
  <c r="BR24" i="26" s="1"/>
  <c r="BQ25" i="26"/>
  <c r="BR25" i="26" s="1"/>
  <c r="BQ27" i="26"/>
  <c r="BR27" i="26" s="1"/>
  <c r="BQ30" i="26"/>
  <c r="BR30" i="26" s="1"/>
  <c r="BQ32" i="26"/>
  <c r="BR32" i="26" s="1"/>
  <c r="BQ35" i="26"/>
  <c r="BR35" i="26" s="1"/>
  <c r="BQ37" i="26"/>
  <c r="BR37" i="26" s="1"/>
  <c r="BQ40" i="26"/>
  <c r="BR40" i="26" s="1"/>
  <c r="BQ41" i="26"/>
  <c r="BR41" i="26" s="1"/>
  <c r="BQ46" i="26"/>
  <c r="BR46" i="26" s="1"/>
  <c r="BQ48" i="26"/>
  <c r="BR48" i="26" s="1"/>
  <c r="BQ51" i="26"/>
  <c r="BR51" i="26" s="1"/>
  <c r="BQ55" i="26"/>
  <c r="BR55" i="26" s="1"/>
  <c r="BQ56" i="26"/>
  <c r="BR56" i="26" s="1"/>
  <c r="BQ62" i="26"/>
  <c r="BR62" i="26" s="1"/>
  <c r="BQ12" i="26"/>
  <c r="BR12" i="26" s="1"/>
  <c r="BQ19" i="26"/>
  <c r="BR19" i="26" s="1"/>
  <c r="BQ28" i="26"/>
  <c r="BR28" i="26" s="1"/>
  <c r="BQ38" i="26"/>
  <c r="BR38" i="26" s="1"/>
  <c r="BQ45" i="26"/>
  <c r="BR45" i="26" s="1"/>
  <c r="BQ49" i="26"/>
  <c r="BR49" i="26" s="1"/>
  <c r="BQ57" i="26"/>
  <c r="BR57" i="26" s="1"/>
  <c r="BQ64" i="26"/>
  <c r="BR64" i="26" s="1"/>
  <c r="BQ70" i="26"/>
  <c r="BR70" i="26" s="1"/>
  <c r="BQ14" i="26"/>
  <c r="BR14" i="26" s="1"/>
  <c r="BQ26" i="26"/>
  <c r="BR26" i="26" s="1"/>
  <c r="BQ36" i="26"/>
  <c r="BR36" i="26" s="1"/>
  <c r="BQ50" i="26"/>
  <c r="BR50" i="26" s="1"/>
  <c r="BQ47" i="26"/>
  <c r="BR47" i="26" s="1"/>
  <c r="BQ65" i="26"/>
  <c r="BR65" i="26" s="1"/>
  <c r="BQ17" i="26"/>
  <c r="BR17" i="26" s="1"/>
  <c r="N70" i="33"/>
  <c r="L70" i="33"/>
  <c r="I70" i="33"/>
  <c r="F70" i="33"/>
  <c r="N69" i="33"/>
  <c r="L69" i="33"/>
  <c r="I69" i="33"/>
  <c r="F69" i="33"/>
  <c r="N68" i="33"/>
  <c r="L68" i="33"/>
  <c r="I68" i="33"/>
  <c r="F68" i="33"/>
  <c r="N67" i="33"/>
  <c r="L67" i="33"/>
  <c r="I67" i="33"/>
  <c r="F67" i="33"/>
  <c r="N66" i="33"/>
  <c r="L66" i="33"/>
  <c r="I66" i="33"/>
  <c r="F66" i="33"/>
  <c r="N65" i="33"/>
  <c r="L65" i="33"/>
  <c r="I65" i="33"/>
  <c r="F65" i="33"/>
  <c r="N64" i="33"/>
  <c r="L64" i="33"/>
  <c r="I64" i="33"/>
  <c r="F64" i="33"/>
  <c r="N63" i="33"/>
  <c r="L63" i="33"/>
  <c r="I63" i="33"/>
  <c r="F63" i="33"/>
  <c r="N62" i="33"/>
  <c r="L62" i="33"/>
  <c r="I62" i="33"/>
  <c r="F62" i="33"/>
  <c r="N61" i="33"/>
  <c r="L61" i="33"/>
  <c r="I61" i="33"/>
  <c r="F61" i="33"/>
  <c r="N60" i="33"/>
  <c r="L60" i="33"/>
  <c r="I60" i="33"/>
  <c r="F60" i="33"/>
  <c r="N59" i="33"/>
  <c r="L59" i="33"/>
  <c r="I59" i="33"/>
  <c r="F59" i="33"/>
  <c r="N58" i="33"/>
  <c r="L58" i="33"/>
  <c r="I58" i="33"/>
  <c r="F58" i="33"/>
  <c r="N57" i="33"/>
  <c r="L57" i="33"/>
  <c r="I57" i="33"/>
  <c r="F57" i="33"/>
  <c r="N56" i="33"/>
  <c r="L56" i="33"/>
  <c r="I56" i="33"/>
  <c r="F56" i="33"/>
  <c r="N55" i="33"/>
  <c r="L55" i="33"/>
  <c r="I55" i="33"/>
  <c r="F55" i="33"/>
  <c r="N54" i="33"/>
  <c r="L54" i="33"/>
  <c r="I54" i="33"/>
  <c r="F54" i="33"/>
  <c r="N53" i="33"/>
  <c r="L53" i="33"/>
  <c r="I53" i="33"/>
  <c r="F53" i="33"/>
  <c r="N52" i="33"/>
  <c r="L52" i="33"/>
  <c r="I52" i="33"/>
  <c r="F52" i="33"/>
  <c r="N51" i="33"/>
  <c r="L51" i="33"/>
  <c r="I51" i="33"/>
  <c r="F51" i="33"/>
  <c r="N50" i="33"/>
  <c r="L50" i="33"/>
  <c r="I50" i="33"/>
  <c r="F50" i="33"/>
  <c r="N49" i="33"/>
  <c r="L49" i="33"/>
  <c r="I49" i="33"/>
  <c r="F49" i="33"/>
  <c r="N48" i="33"/>
  <c r="L48" i="33"/>
  <c r="I48" i="33"/>
  <c r="F48" i="33"/>
  <c r="N47" i="33"/>
  <c r="L47" i="33"/>
  <c r="I47" i="33"/>
  <c r="F47" i="33"/>
  <c r="N46" i="33"/>
  <c r="L46" i="33"/>
  <c r="I46" i="33"/>
  <c r="F46" i="33"/>
  <c r="N45" i="33"/>
  <c r="L45" i="33"/>
  <c r="I45" i="33"/>
  <c r="F45" i="33"/>
  <c r="N44" i="33"/>
  <c r="L44" i="33"/>
  <c r="I44" i="33"/>
  <c r="F44" i="33"/>
  <c r="N43" i="33"/>
  <c r="L43" i="33"/>
  <c r="I43" i="33"/>
  <c r="F43" i="33"/>
  <c r="N42" i="33"/>
  <c r="L42" i="33"/>
  <c r="I42" i="33"/>
  <c r="F42" i="33"/>
  <c r="N41" i="33"/>
  <c r="L41" i="33"/>
  <c r="I41" i="33"/>
  <c r="F41" i="33"/>
  <c r="N40" i="33"/>
  <c r="L40" i="33"/>
  <c r="I40" i="33"/>
  <c r="F40" i="33"/>
  <c r="N39" i="33"/>
  <c r="L39" i="33"/>
  <c r="I39" i="33"/>
  <c r="F39" i="33"/>
  <c r="N38" i="33"/>
  <c r="L38" i="33"/>
  <c r="I38" i="33"/>
  <c r="F38" i="33"/>
  <c r="N37" i="33"/>
  <c r="L37" i="33"/>
  <c r="I37" i="33"/>
  <c r="F37" i="33"/>
  <c r="N36" i="33"/>
  <c r="L36" i="33"/>
  <c r="I36" i="33"/>
  <c r="F36" i="33"/>
  <c r="N35" i="33"/>
  <c r="L35" i="33"/>
  <c r="I35" i="33"/>
  <c r="F35" i="33"/>
  <c r="N34" i="33"/>
  <c r="L34" i="33"/>
  <c r="I34" i="33"/>
  <c r="F34" i="33"/>
  <c r="N33" i="33"/>
  <c r="L33" i="33"/>
  <c r="I33" i="33"/>
  <c r="F33" i="33"/>
  <c r="N32" i="33"/>
  <c r="L32" i="33"/>
  <c r="I32" i="33"/>
  <c r="F32" i="33"/>
  <c r="N31" i="33"/>
  <c r="L31" i="33"/>
  <c r="I31" i="33"/>
  <c r="F31" i="33"/>
  <c r="N30" i="33"/>
  <c r="L30" i="33"/>
  <c r="I30" i="33"/>
  <c r="F30" i="33"/>
  <c r="N29" i="33"/>
  <c r="L29" i="33"/>
  <c r="I29" i="33"/>
  <c r="F29" i="33"/>
  <c r="N28" i="33"/>
  <c r="L28" i="33"/>
  <c r="I28" i="33"/>
  <c r="F28" i="33"/>
  <c r="N27" i="33"/>
  <c r="L27" i="33"/>
  <c r="I27" i="33"/>
  <c r="F27" i="33"/>
  <c r="N26" i="33"/>
  <c r="L26" i="33"/>
  <c r="I26" i="33"/>
  <c r="F26" i="33"/>
  <c r="N25" i="33"/>
  <c r="L25" i="33"/>
  <c r="I25" i="33"/>
  <c r="F25" i="33"/>
  <c r="N24" i="33"/>
  <c r="L24" i="33"/>
  <c r="I24" i="33"/>
  <c r="F24" i="33"/>
  <c r="N23" i="33"/>
  <c r="L23" i="33"/>
  <c r="I23" i="33"/>
  <c r="F23" i="33"/>
  <c r="N22" i="33"/>
  <c r="L22" i="33"/>
  <c r="I22" i="33"/>
  <c r="F22" i="33"/>
  <c r="N21" i="33"/>
  <c r="L21" i="33"/>
  <c r="I21" i="33"/>
  <c r="F21" i="33"/>
  <c r="N20" i="33"/>
  <c r="L20" i="33"/>
  <c r="I20" i="33"/>
  <c r="F20" i="33"/>
  <c r="N19" i="33"/>
  <c r="L19" i="33"/>
  <c r="I19" i="33"/>
  <c r="F19" i="33"/>
  <c r="N18" i="33"/>
  <c r="L18" i="33"/>
  <c r="I18" i="33"/>
  <c r="F18" i="33"/>
  <c r="N17" i="33"/>
  <c r="L17" i="33"/>
  <c r="I17" i="33"/>
  <c r="F17" i="33"/>
  <c r="N16" i="33"/>
  <c r="L16" i="33"/>
  <c r="I16" i="33"/>
  <c r="F16" i="33"/>
  <c r="N15" i="33"/>
  <c r="L15" i="33"/>
  <c r="I15" i="33"/>
  <c r="F15" i="33"/>
  <c r="N14" i="33"/>
  <c r="L14" i="33"/>
  <c r="I14" i="33"/>
  <c r="F14" i="33"/>
  <c r="N13" i="33"/>
  <c r="L13" i="33"/>
  <c r="I13" i="33"/>
  <c r="F13" i="33"/>
  <c r="N12" i="33"/>
  <c r="L12" i="33"/>
  <c r="I12" i="33"/>
  <c r="F12" i="33"/>
  <c r="N11" i="33"/>
  <c r="L11" i="33"/>
  <c r="I11" i="33"/>
  <c r="F11" i="33"/>
  <c r="N10" i="33"/>
  <c r="L10" i="33"/>
  <c r="I10" i="33"/>
  <c r="F10" i="33"/>
  <c r="N9" i="33"/>
  <c r="L9" i="33"/>
  <c r="I9" i="33"/>
  <c r="F9" i="33"/>
  <c r="N8" i="33"/>
  <c r="L8" i="33"/>
  <c r="I8" i="33"/>
  <c r="F8" i="33"/>
  <c r="N7" i="33"/>
  <c r="L7" i="33"/>
  <c r="I7" i="33"/>
  <c r="F7" i="33"/>
  <c r="N6" i="33"/>
  <c r="L6" i="33"/>
  <c r="I6" i="33"/>
  <c r="F6" i="33"/>
  <c r="N5" i="33"/>
  <c r="L5" i="33"/>
  <c r="I5" i="33"/>
  <c r="F5" i="33"/>
  <c r="Y6" i="33" l="1"/>
  <c r="Z6" i="33" s="1"/>
  <c r="Y7" i="33"/>
  <c r="Z7" i="33" s="1"/>
  <c r="Y8" i="33"/>
  <c r="Z8" i="33" s="1"/>
  <c r="Y9" i="33"/>
  <c r="Z9" i="33" s="1"/>
  <c r="Y10" i="33"/>
  <c r="Z10" i="33" s="1"/>
  <c r="Y11" i="33"/>
  <c r="Z11" i="33" s="1"/>
  <c r="Y12" i="33"/>
  <c r="Z12" i="33" s="1"/>
  <c r="Y13" i="33"/>
  <c r="Z13" i="33" s="1"/>
  <c r="Y14" i="33"/>
  <c r="Z14" i="33" s="1"/>
  <c r="Y15" i="33"/>
  <c r="Z15" i="33" s="1"/>
  <c r="Y16" i="33"/>
  <c r="Z16" i="33" s="1"/>
  <c r="Y17" i="33"/>
  <c r="Z17" i="33" s="1"/>
  <c r="Y18" i="33"/>
  <c r="Z18" i="33" s="1"/>
  <c r="Y19" i="33"/>
  <c r="Z19" i="33" s="1"/>
  <c r="Y20" i="33"/>
  <c r="Z20" i="33" s="1"/>
  <c r="Y21" i="33"/>
  <c r="Z21" i="33" s="1"/>
  <c r="Y22" i="33"/>
  <c r="Z22" i="33" s="1"/>
  <c r="Y23" i="33"/>
  <c r="Z23" i="33" s="1"/>
  <c r="Y24" i="33"/>
  <c r="Z24" i="33" s="1"/>
  <c r="Y25" i="33"/>
  <c r="Z25" i="33" s="1"/>
  <c r="Y26" i="33"/>
  <c r="Z26" i="33" s="1"/>
  <c r="Y27" i="33"/>
  <c r="Z27" i="33" s="1"/>
  <c r="Y28" i="33"/>
  <c r="Z28" i="33" s="1"/>
  <c r="Y29" i="33"/>
  <c r="Z29" i="33" s="1"/>
  <c r="Y30" i="33"/>
  <c r="Z30" i="33" s="1"/>
  <c r="Y31" i="33"/>
  <c r="Z31" i="33" s="1"/>
  <c r="Y32" i="33"/>
  <c r="Z32" i="33" s="1"/>
  <c r="Y33" i="33"/>
  <c r="Z33" i="33" s="1"/>
  <c r="Y34" i="33"/>
  <c r="Z34" i="33" s="1"/>
  <c r="Y35" i="33"/>
  <c r="Z35" i="33" s="1"/>
  <c r="Y36" i="33"/>
  <c r="Z36" i="33" s="1"/>
  <c r="Y37" i="33"/>
  <c r="Z37" i="33" s="1"/>
  <c r="Y38" i="33"/>
  <c r="Z38" i="33" s="1"/>
  <c r="Y39" i="33"/>
  <c r="Z39" i="33" s="1"/>
  <c r="Y40" i="33"/>
  <c r="Z40" i="33" s="1"/>
  <c r="Y41" i="33"/>
  <c r="Z41" i="33" s="1"/>
  <c r="Y42" i="33"/>
  <c r="Z42" i="33" s="1"/>
  <c r="Y43" i="33"/>
  <c r="Z43" i="33" s="1"/>
  <c r="Y44" i="33"/>
  <c r="Z44" i="33" s="1"/>
  <c r="Y45" i="33"/>
  <c r="Z45" i="33" s="1"/>
  <c r="Y46" i="33"/>
  <c r="Z46" i="33" s="1"/>
  <c r="Y47" i="33"/>
  <c r="Z47" i="33" s="1"/>
  <c r="Y48" i="33"/>
  <c r="Z48" i="33" s="1"/>
  <c r="Y49" i="33"/>
  <c r="Z49" i="33" s="1"/>
  <c r="Y50" i="33"/>
  <c r="Z50" i="33" s="1"/>
  <c r="Y51" i="33"/>
  <c r="Z51" i="33" s="1"/>
  <c r="Y52" i="33"/>
  <c r="Z52" i="33" s="1"/>
  <c r="Y53" i="33"/>
  <c r="Z53" i="33" s="1"/>
  <c r="Y54" i="33"/>
  <c r="Z54" i="33" s="1"/>
  <c r="Y55" i="33"/>
  <c r="Z55" i="33" s="1"/>
  <c r="Y56" i="33"/>
  <c r="Z56" i="33" s="1"/>
  <c r="Y57" i="33"/>
  <c r="Z57" i="33" s="1"/>
  <c r="Y58" i="33"/>
  <c r="Z58" i="33" s="1"/>
  <c r="Y59" i="33"/>
  <c r="Z59" i="33" s="1"/>
  <c r="Y60" i="33"/>
  <c r="Z60" i="33" s="1"/>
  <c r="Y61" i="33"/>
  <c r="Z61" i="33" s="1"/>
  <c r="Y62" i="33"/>
  <c r="Z62" i="33" s="1"/>
  <c r="Y63" i="33"/>
  <c r="Z63" i="33" s="1"/>
  <c r="Y64" i="33"/>
  <c r="Z64" i="33" s="1"/>
  <c r="Y65" i="33"/>
  <c r="Z65" i="33" s="1"/>
  <c r="Y66" i="33"/>
  <c r="Z66" i="33" s="1"/>
  <c r="Y67" i="33"/>
  <c r="Z67" i="33" s="1"/>
  <c r="Y68" i="33"/>
  <c r="Z68" i="33" s="1"/>
  <c r="Y69" i="33"/>
  <c r="Z69" i="33" s="1"/>
  <c r="Y70" i="33"/>
  <c r="Z70" i="33" s="1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P41" i="30"/>
  <c r="P42" i="30"/>
  <c r="P43" i="30"/>
  <c r="P44" i="30"/>
  <c r="P45" i="30"/>
  <c r="P46" i="30"/>
  <c r="P47" i="30"/>
  <c r="P48" i="30"/>
  <c r="P49" i="30"/>
  <c r="P50" i="30"/>
  <c r="P51" i="30"/>
  <c r="P52" i="30"/>
  <c r="P53" i="30"/>
  <c r="P54" i="30"/>
  <c r="P55" i="30"/>
  <c r="P56" i="30"/>
  <c r="P57" i="30"/>
  <c r="P58" i="30"/>
  <c r="P59" i="30"/>
  <c r="P60" i="30"/>
  <c r="P61" i="30"/>
  <c r="P62" i="30"/>
  <c r="P63" i="30"/>
  <c r="P64" i="30"/>
  <c r="P65" i="30"/>
  <c r="P66" i="30"/>
  <c r="P67" i="30"/>
  <c r="P68" i="30"/>
  <c r="P69" i="30"/>
  <c r="P70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0" i="30"/>
  <c r="L31" i="30"/>
  <c r="L32" i="30"/>
  <c r="L33" i="30"/>
  <c r="L34" i="30"/>
  <c r="L35" i="30"/>
  <c r="L36" i="30"/>
  <c r="L37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L67" i="30"/>
  <c r="L68" i="30"/>
  <c r="L69" i="30"/>
  <c r="L70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64" i="30"/>
  <c r="I65" i="30"/>
  <c r="I66" i="30"/>
  <c r="I67" i="30"/>
  <c r="I68" i="30"/>
  <c r="I69" i="30"/>
  <c r="I70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70" i="30"/>
  <c r="O70" i="29"/>
  <c r="L70" i="29"/>
  <c r="J70" i="29"/>
  <c r="G70" i="29"/>
  <c r="AA70" i="29" s="1"/>
  <c r="AB70" i="29" s="1"/>
  <c r="O69" i="29"/>
  <c r="L69" i="29"/>
  <c r="J69" i="29"/>
  <c r="G69" i="29"/>
  <c r="AA69" i="29" s="1"/>
  <c r="AB69" i="29" s="1"/>
  <c r="O68" i="29"/>
  <c r="L68" i="29"/>
  <c r="J68" i="29"/>
  <c r="G68" i="29"/>
  <c r="AA68" i="29" s="1"/>
  <c r="AB68" i="29" s="1"/>
  <c r="O67" i="29"/>
  <c r="L67" i="29"/>
  <c r="J67" i="29"/>
  <c r="G67" i="29"/>
  <c r="AA67" i="29" s="1"/>
  <c r="AB67" i="29" s="1"/>
  <c r="O66" i="29"/>
  <c r="L66" i="29"/>
  <c r="J66" i="29"/>
  <c r="G66" i="29"/>
  <c r="AA66" i="29" s="1"/>
  <c r="AB66" i="29" s="1"/>
  <c r="O65" i="29"/>
  <c r="L65" i="29"/>
  <c r="J65" i="29"/>
  <c r="G65" i="29"/>
  <c r="AA65" i="29" s="1"/>
  <c r="AB65" i="29" s="1"/>
  <c r="O64" i="29"/>
  <c r="L64" i="29"/>
  <c r="J64" i="29"/>
  <c r="G64" i="29"/>
  <c r="AA64" i="29" s="1"/>
  <c r="AB64" i="29" s="1"/>
  <c r="O63" i="29"/>
  <c r="L63" i="29"/>
  <c r="J63" i="29"/>
  <c r="G63" i="29"/>
  <c r="AA63" i="29" s="1"/>
  <c r="AB63" i="29" s="1"/>
  <c r="O62" i="29"/>
  <c r="L62" i="29"/>
  <c r="J62" i="29"/>
  <c r="G62" i="29"/>
  <c r="AA62" i="29" s="1"/>
  <c r="AB62" i="29" s="1"/>
  <c r="O61" i="29"/>
  <c r="L61" i="29"/>
  <c r="J61" i="29"/>
  <c r="G61" i="29"/>
  <c r="AA61" i="29" s="1"/>
  <c r="AB61" i="29" s="1"/>
  <c r="O60" i="29"/>
  <c r="L60" i="29"/>
  <c r="J60" i="29"/>
  <c r="G60" i="29"/>
  <c r="AA60" i="29" s="1"/>
  <c r="AB60" i="29" s="1"/>
  <c r="O59" i="29"/>
  <c r="L59" i="29"/>
  <c r="J59" i="29"/>
  <c r="G59" i="29"/>
  <c r="AA59" i="29" s="1"/>
  <c r="AB59" i="29" s="1"/>
  <c r="O58" i="29"/>
  <c r="L58" i="29"/>
  <c r="J58" i="29"/>
  <c r="G58" i="29"/>
  <c r="AA58" i="29" s="1"/>
  <c r="AB58" i="29" s="1"/>
  <c r="O57" i="29"/>
  <c r="L57" i="29"/>
  <c r="J57" i="29"/>
  <c r="G57" i="29"/>
  <c r="AA57" i="29" s="1"/>
  <c r="AB57" i="29" s="1"/>
  <c r="O56" i="29"/>
  <c r="L56" i="29"/>
  <c r="J56" i="29"/>
  <c r="G56" i="29"/>
  <c r="AA56" i="29" s="1"/>
  <c r="AB56" i="29" s="1"/>
  <c r="O55" i="29"/>
  <c r="L55" i="29"/>
  <c r="J55" i="29"/>
  <c r="G55" i="29"/>
  <c r="AA55" i="29" s="1"/>
  <c r="AB55" i="29" s="1"/>
  <c r="O54" i="29"/>
  <c r="L54" i="29"/>
  <c r="J54" i="29"/>
  <c r="G54" i="29"/>
  <c r="AA54" i="29" s="1"/>
  <c r="AB54" i="29" s="1"/>
  <c r="O53" i="29"/>
  <c r="L53" i="29"/>
  <c r="J53" i="29"/>
  <c r="G53" i="29"/>
  <c r="AA53" i="29" s="1"/>
  <c r="AB53" i="29" s="1"/>
  <c r="O52" i="29"/>
  <c r="L52" i="29"/>
  <c r="J52" i="29"/>
  <c r="G52" i="29"/>
  <c r="AA52" i="29" s="1"/>
  <c r="AB52" i="29" s="1"/>
  <c r="O51" i="29"/>
  <c r="L51" i="29"/>
  <c r="J51" i="29"/>
  <c r="G51" i="29"/>
  <c r="AA51" i="29" s="1"/>
  <c r="AB51" i="29" s="1"/>
  <c r="O50" i="29"/>
  <c r="L50" i="29"/>
  <c r="J50" i="29"/>
  <c r="G50" i="29"/>
  <c r="AA50" i="29" s="1"/>
  <c r="AB50" i="29" s="1"/>
  <c r="O49" i="29"/>
  <c r="L49" i="29"/>
  <c r="J49" i="29"/>
  <c r="G49" i="29"/>
  <c r="AA49" i="29" s="1"/>
  <c r="AB49" i="29" s="1"/>
  <c r="O48" i="29"/>
  <c r="L48" i="29"/>
  <c r="J48" i="29"/>
  <c r="G48" i="29"/>
  <c r="AA48" i="29" s="1"/>
  <c r="AB48" i="29" s="1"/>
  <c r="O47" i="29"/>
  <c r="L47" i="29"/>
  <c r="J47" i="29"/>
  <c r="G47" i="29"/>
  <c r="AA47" i="29" s="1"/>
  <c r="AB47" i="29" s="1"/>
  <c r="O46" i="29"/>
  <c r="L46" i="29"/>
  <c r="J46" i="29"/>
  <c r="G46" i="29"/>
  <c r="AA46" i="29" s="1"/>
  <c r="AB46" i="29" s="1"/>
  <c r="O45" i="29"/>
  <c r="L45" i="29"/>
  <c r="J45" i="29"/>
  <c r="G45" i="29"/>
  <c r="AA45" i="29" s="1"/>
  <c r="AB45" i="29" s="1"/>
  <c r="O44" i="29"/>
  <c r="L44" i="29"/>
  <c r="J44" i="29"/>
  <c r="G44" i="29"/>
  <c r="AA44" i="29" s="1"/>
  <c r="AB44" i="29" s="1"/>
  <c r="O43" i="29"/>
  <c r="L43" i="29"/>
  <c r="J43" i="29"/>
  <c r="G43" i="29"/>
  <c r="AA43" i="29" s="1"/>
  <c r="AB43" i="29" s="1"/>
  <c r="O42" i="29"/>
  <c r="L42" i="29"/>
  <c r="J42" i="29"/>
  <c r="G42" i="29"/>
  <c r="AA42" i="29" s="1"/>
  <c r="AB42" i="29" s="1"/>
  <c r="O41" i="29"/>
  <c r="L41" i="29"/>
  <c r="J41" i="29"/>
  <c r="G41" i="29"/>
  <c r="AA41" i="29" s="1"/>
  <c r="AB41" i="29" s="1"/>
  <c r="O40" i="29"/>
  <c r="L40" i="29"/>
  <c r="J40" i="29"/>
  <c r="G40" i="29"/>
  <c r="AA40" i="29" s="1"/>
  <c r="AB40" i="29" s="1"/>
  <c r="O39" i="29"/>
  <c r="L39" i="29"/>
  <c r="J39" i="29"/>
  <c r="G39" i="29"/>
  <c r="AA39" i="29" s="1"/>
  <c r="AB39" i="29" s="1"/>
  <c r="O38" i="29"/>
  <c r="L38" i="29"/>
  <c r="J38" i="29"/>
  <c r="G38" i="29"/>
  <c r="AA38" i="29" s="1"/>
  <c r="AB38" i="29" s="1"/>
  <c r="O37" i="29"/>
  <c r="L37" i="29"/>
  <c r="J37" i="29"/>
  <c r="G37" i="29"/>
  <c r="AA37" i="29" s="1"/>
  <c r="AB37" i="29" s="1"/>
  <c r="O36" i="29"/>
  <c r="L36" i="29"/>
  <c r="J36" i="29"/>
  <c r="G36" i="29"/>
  <c r="AA36" i="29" s="1"/>
  <c r="AB36" i="29" s="1"/>
  <c r="O35" i="29"/>
  <c r="L35" i="29"/>
  <c r="J35" i="29"/>
  <c r="G35" i="29"/>
  <c r="AA35" i="29" s="1"/>
  <c r="AB35" i="29" s="1"/>
  <c r="O34" i="29"/>
  <c r="L34" i="29"/>
  <c r="J34" i="29"/>
  <c r="G34" i="29"/>
  <c r="AA34" i="29" s="1"/>
  <c r="AB34" i="29" s="1"/>
  <c r="O33" i="29"/>
  <c r="L33" i="29"/>
  <c r="J33" i="29"/>
  <c r="G33" i="29"/>
  <c r="AA33" i="29" s="1"/>
  <c r="AB33" i="29" s="1"/>
  <c r="O32" i="29"/>
  <c r="L32" i="29"/>
  <c r="J32" i="29"/>
  <c r="G32" i="29"/>
  <c r="AA32" i="29" s="1"/>
  <c r="AB32" i="29" s="1"/>
  <c r="O31" i="29"/>
  <c r="L31" i="29"/>
  <c r="J31" i="29"/>
  <c r="G31" i="29"/>
  <c r="AA31" i="29" s="1"/>
  <c r="AB31" i="29" s="1"/>
  <c r="O30" i="29"/>
  <c r="L30" i="29"/>
  <c r="J30" i="29"/>
  <c r="G30" i="29"/>
  <c r="AA30" i="29" s="1"/>
  <c r="AB30" i="29" s="1"/>
  <c r="O29" i="29"/>
  <c r="L29" i="29"/>
  <c r="J29" i="29"/>
  <c r="G29" i="29"/>
  <c r="AA29" i="29" s="1"/>
  <c r="AB29" i="29" s="1"/>
  <c r="O28" i="29"/>
  <c r="L28" i="29"/>
  <c r="J28" i="29"/>
  <c r="G28" i="29"/>
  <c r="AA28" i="29" s="1"/>
  <c r="AB28" i="29" s="1"/>
  <c r="O27" i="29"/>
  <c r="L27" i="29"/>
  <c r="J27" i="29"/>
  <c r="G27" i="29"/>
  <c r="AA27" i="29" s="1"/>
  <c r="AB27" i="29" s="1"/>
  <c r="O26" i="29"/>
  <c r="L26" i="29"/>
  <c r="J26" i="29"/>
  <c r="G26" i="29"/>
  <c r="AA26" i="29" s="1"/>
  <c r="AB26" i="29" s="1"/>
  <c r="O25" i="29"/>
  <c r="L25" i="29"/>
  <c r="J25" i="29"/>
  <c r="G25" i="29"/>
  <c r="AA25" i="29" s="1"/>
  <c r="AB25" i="29" s="1"/>
  <c r="O24" i="29"/>
  <c r="L24" i="29"/>
  <c r="J24" i="29"/>
  <c r="G24" i="29"/>
  <c r="AA24" i="29" s="1"/>
  <c r="AB24" i="29" s="1"/>
  <c r="O23" i="29"/>
  <c r="L23" i="29"/>
  <c r="J23" i="29"/>
  <c r="G23" i="29"/>
  <c r="AA23" i="29" s="1"/>
  <c r="AB23" i="29" s="1"/>
  <c r="O22" i="29"/>
  <c r="L22" i="29"/>
  <c r="J22" i="29"/>
  <c r="G22" i="29"/>
  <c r="AA22" i="29" s="1"/>
  <c r="AB22" i="29" s="1"/>
  <c r="O21" i="29"/>
  <c r="L21" i="29"/>
  <c r="J21" i="29"/>
  <c r="G21" i="29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6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0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AD11" i="27"/>
  <c r="V11" i="27"/>
  <c r="AD23" i="27"/>
  <c r="V23" i="27"/>
  <c r="AD34" i="27"/>
  <c r="V34" i="27"/>
  <c r="AD43" i="27"/>
  <c r="V43" i="27"/>
  <c r="AD56" i="27"/>
  <c r="V56" i="27"/>
  <c r="AD62" i="27"/>
  <c r="V62" i="27"/>
  <c r="AD50" i="27"/>
  <c r="V50" i="27"/>
  <c r="AD38" i="27"/>
  <c r="V38" i="27"/>
  <c r="AD28" i="27"/>
  <c r="V28" i="27"/>
  <c r="AD19" i="27"/>
  <c r="V19" i="27"/>
  <c r="AM42" i="27"/>
  <c r="AD42" i="27"/>
  <c r="V42" i="27"/>
  <c r="N42" i="27"/>
  <c r="BQ42" i="27" s="1"/>
  <c r="BR42" i="27" s="1"/>
  <c r="AM67" i="27"/>
  <c r="AD67" i="27"/>
  <c r="V67" i="27"/>
  <c r="N67" i="27"/>
  <c r="BQ67" i="27" s="1"/>
  <c r="BR67" i="27" s="1"/>
  <c r="AM64" i="27"/>
  <c r="AD64" i="27"/>
  <c r="V64" i="27"/>
  <c r="N64" i="27"/>
  <c r="BQ64" i="27" s="1"/>
  <c r="BR64" i="27" s="1"/>
  <c r="AM59" i="27"/>
  <c r="AD59" i="27"/>
  <c r="V59" i="27"/>
  <c r="N59" i="27"/>
  <c r="BQ59" i="27" s="1"/>
  <c r="BR59" i="27" s="1"/>
  <c r="AM53" i="27"/>
  <c r="AD53" i="27"/>
  <c r="V53" i="27"/>
  <c r="N53" i="27"/>
  <c r="BQ53" i="27" s="1"/>
  <c r="BR53" i="27" s="1"/>
  <c r="AM47" i="27"/>
  <c r="AD47" i="27"/>
  <c r="V47" i="27"/>
  <c r="N47" i="27"/>
  <c r="BQ47" i="27" s="1"/>
  <c r="BR47" i="27" s="1"/>
  <c r="AM37" i="27"/>
  <c r="AD37" i="27"/>
  <c r="V37" i="27"/>
  <c r="N37" i="27"/>
  <c r="BQ37" i="27" s="1"/>
  <c r="BR37" i="27" s="1"/>
  <c r="AM32" i="27"/>
  <c r="AD32" i="27"/>
  <c r="V32" i="27"/>
  <c r="N32" i="27"/>
  <c r="BQ32" i="27" s="1"/>
  <c r="BR32" i="27" s="1"/>
  <c r="AM26" i="27"/>
  <c r="AD26" i="27"/>
  <c r="V26" i="27"/>
  <c r="N26" i="27"/>
  <c r="BQ26" i="27" s="1"/>
  <c r="BR26" i="27" s="1"/>
  <c r="AM22" i="27"/>
  <c r="AD22" i="27"/>
  <c r="V22" i="27"/>
  <c r="N22" i="27"/>
  <c r="BQ22" i="27" s="1"/>
  <c r="BR22" i="27" s="1"/>
  <c r="AM15" i="27"/>
  <c r="AD15" i="27"/>
  <c r="V15" i="27"/>
  <c r="N15" i="27"/>
  <c r="BQ15" i="27" s="1"/>
  <c r="BR15" i="27" s="1"/>
  <c r="AD9" i="27"/>
  <c r="AM68" i="27"/>
  <c r="AD68" i="27"/>
  <c r="V68" i="27"/>
  <c r="N68" i="27"/>
  <c r="AM65" i="27"/>
  <c r="AD65" i="27"/>
  <c r="V65" i="27"/>
  <c r="N65" i="27"/>
  <c r="AM61" i="27"/>
  <c r="AD61" i="27"/>
  <c r="V61" i="27"/>
  <c r="N61" i="27"/>
  <c r="AM58" i="27"/>
  <c r="AD58" i="27"/>
  <c r="V58" i="27"/>
  <c r="N58" i="27"/>
  <c r="AM55" i="27"/>
  <c r="AD55" i="27"/>
  <c r="V55" i="27"/>
  <c r="N55" i="27"/>
  <c r="AM52" i="27"/>
  <c r="AD52" i="27"/>
  <c r="V52" i="27"/>
  <c r="N52" i="27"/>
  <c r="AM49" i="27"/>
  <c r="AD49" i="27"/>
  <c r="V49" i="27"/>
  <c r="N49" i="27"/>
  <c r="AM45" i="27"/>
  <c r="AD45" i="27"/>
  <c r="V45" i="27"/>
  <c r="N45" i="27"/>
  <c r="AM40" i="27"/>
  <c r="AD40" i="27"/>
  <c r="V40" i="27"/>
  <c r="N40" i="27"/>
  <c r="AM35" i="27"/>
  <c r="AD35" i="27"/>
  <c r="V35" i="27"/>
  <c r="N35" i="27"/>
  <c r="AM30" i="27"/>
  <c r="AD30" i="27"/>
  <c r="V30" i="27"/>
  <c r="N30" i="27"/>
  <c r="AM25" i="27"/>
  <c r="AD25" i="27"/>
  <c r="V25" i="27"/>
  <c r="N25" i="27"/>
  <c r="AM20" i="27"/>
  <c r="AD20" i="27"/>
  <c r="V20" i="27"/>
  <c r="N20" i="27"/>
  <c r="AM17" i="27"/>
  <c r="AD17" i="27"/>
  <c r="V17" i="27"/>
  <c r="N17" i="27"/>
  <c r="AM70" i="27"/>
  <c r="AD70" i="27"/>
  <c r="V70" i="27"/>
  <c r="N70" i="27"/>
  <c r="AM69" i="27"/>
  <c r="AD69" i="27"/>
  <c r="V69" i="27"/>
  <c r="N69" i="27"/>
  <c r="AM66" i="27"/>
  <c r="AD66" i="27"/>
  <c r="V66" i="27"/>
  <c r="N66" i="27"/>
  <c r="AM63" i="27"/>
  <c r="AD63" i="27"/>
  <c r="V63" i="27"/>
  <c r="N63" i="27"/>
  <c r="AM60" i="27"/>
  <c r="AD60" i="27"/>
  <c r="V60" i="27"/>
  <c r="N60" i="27"/>
  <c r="AM57" i="27"/>
  <c r="AD57" i="27"/>
  <c r="V57" i="27"/>
  <c r="N57" i="27"/>
  <c r="AM54" i="27"/>
  <c r="AD54" i="27"/>
  <c r="V54" i="27"/>
  <c r="N54" i="27"/>
  <c r="AM51" i="27"/>
  <c r="AD51" i="27"/>
  <c r="V51" i="27"/>
  <c r="N51" i="27"/>
  <c r="AM48" i="27"/>
  <c r="AD48" i="27"/>
  <c r="V48" i="27"/>
  <c r="N48" i="27"/>
  <c r="AM46" i="27"/>
  <c r="AD46" i="27"/>
  <c r="V46" i="27"/>
  <c r="N46" i="27"/>
  <c r="AM44" i="27"/>
  <c r="AD44" i="27"/>
  <c r="V44" i="27"/>
  <c r="N44" i="27"/>
  <c r="AM41" i="27"/>
  <c r="AD41" i="27"/>
  <c r="V41" i="27"/>
  <c r="N41" i="27"/>
  <c r="AM39" i="27"/>
  <c r="AD39" i="27"/>
  <c r="V39" i="27"/>
  <c r="N39" i="27"/>
  <c r="AM36" i="27"/>
  <c r="AD36" i="27"/>
  <c r="V36" i="27"/>
  <c r="N36" i="27"/>
  <c r="AM33" i="27"/>
  <c r="AD33" i="27"/>
  <c r="V33" i="27"/>
  <c r="N33" i="27"/>
  <c r="AM31" i="27"/>
  <c r="AD31" i="27"/>
  <c r="V31" i="27"/>
  <c r="N31" i="27"/>
  <c r="AM29" i="27"/>
  <c r="AD29" i="27"/>
  <c r="V29" i="27"/>
  <c r="N29" i="27"/>
  <c r="AM27" i="27"/>
  <c r="AD27" i="27"/>
  <c r="V27" i="27"/>
  <c r="N27" i="27"/>
  <c r="AM24" i="27"/>
  <c r="AD24" i="27"/>
  <c r="V24" i="27"/>
  <c r="N24" i="27"/>
  <c r="AM21" i="27"/>
  <c r="AD21" i="27"/>
  <c r="V21" i="27"/>
  <c r="N21" i="27"/>
  <c r="AM18" i="27"/>
  <c r="AD18" i="27"/>
  <c r="V18" i="27"/>
  <c r="N18" i="27"/>
  <c r="AM16" i="27"/>
  <c r="AD16" i="27"/>
  <c r="V16" i="27"/>
  <c r="N16" i="27"/>
  <c r="AM14" i="27"/>
  <c r="AD14" i="27"/>
  <c r="V14" i="27"/>
  <c r="N14" i="27"/>
  <c r="AM12" i="27"/>
  <c r="AD12" i="27"/>
  <c r="V12" i="27"/>
  <c r="N12" i="27"/>
  <c r="AM10" i="27"/>
  <c r="AD10" i="27"/>
  <c r="V10" i="27"/>
  <c r="N10" i="27"/>
  <c r="AM8" i="27"/>
  <c r="AD8" i="27"/>
  <c r="V8" i="27"/>
  <c r="N8" i="27"/>
  <c r="X70" i="28" l="1"/>
  <c r="Y70" i="28" s="1"/>
  <c r="X66" i="28"/>
  <c r="Y66" i="28" s="1"/>
  <c r="X62" i="28"/>
  <c r="Y62" i="28" s="1"/>
  <c r="X58" i="28"/>
  <c r="Y58" i="28" s="1"/>
  <c r="X54" i="28"/>
  <c r="Y54" i="28" s="1"/>
  <c r="X50" i="28"/>
  <c r="Y50" i="28" s="1"/>
  <c r="X46" i="28"/>
  <c r="Y46" i="28" s="1"/>
  <c r="X42" i="28"/>
  <c r="Y42" i="28" s="1"/>
  <c r="X38" i="28"/>
  <c r="Y38" i="28" s="1"/>
  <c r="X34" i="28"/>
  <c r="Y34" i="28" s="1"/>
  <c r="X30" i="28"/>
  <c r="Y30" i="28" s="1"/>
  <c r="X26" i="28"/>
  <c r="Y26" i="28" s="1"/>
  <c r="X22" i="28"/>
  <c r="Y22" i="28" s="1"/>
  <c r="X14" i="28"/>
  <c r="Y14" i="28" s="1"/>
  <c r="X10" i="28"/>
  <c r="Y10" i="28" s="1"/>
  <c r="X6" i="28"/>
  <c r="Y6" i="28" s="1"/>
  <c r="Z70" i="30"/>
  <c r="AA70" i="30" s="1"/>
  <c r="Z66" i="30"/>
  <c r="AA66" i="30" s="1"/>
  <c r="Z62" i="30"/>
  <c r="AA62" i="30" s="1"/>
  <c r="Z58" i="30"/>
  <c r="AA58" i="30" s="1"/>
  <c r="Z54" i="30"/>
  <c r="AA54" i="30" s="1"/>
  <c r="Z50" i="30"/>
  <c r="AA50" i="30" s="1"/>
  <c r="Z46" i="30"/>
  <c r="AA46" i="30" s="1"/>
  <c r="Z42" i="30"/>
  <c r="AA42" i="30" s="1"/>
  <c r="Z38" i="30"/>
  <c r="AA38" i="30" s="1"/>
  <c r="Z34" i="30"/>
  <c r="AA34" i="30" s="1"/>
  <c r="Z30" i="30"/>
  <c r="AA30" i="30" s="1"/>
  <c r="Z26" i="30"/>
  <c r="AA26" i="30" s="1"/>
  <c r="Z22" i="30"/>
  <c r="AA22" i="30" s="1"/>
  <c r="Z18" i="30"/>
  <c r="AA18" i="30" s="1"/>
  <c r="Z14" i="30"/>
  <c r="AA14" i="30" s="1"/>
  <c r="Z10" i="30"/>
  <c r="AA10" i="30" s="1"/>
  <c r="Z6" i="30"/>
  <c r="AA6" i="30" s="1"/>
  <c r="Z69" i="30"/>
  <c r="AA69" i="30" s="1"/>
  <c r="Z61" i="30"/>
  <c r="AA61" i="30" s="1"/>
  <c r="Z53" i="30"/>
  <c r="AA53" i="30" s="1"/>
  <c r="Z49" i="30"/>
  <c r="AA49" i="30" s="1"/>
  <c r="Z41" i="30"/>
  <c r="AA41" i="30" s="1"/>
  <c r="Z33" i="30"/>
  <c r="AA33" i="30" s="1"/>
  <c r="Z25" i="30"/>
  <c r="AA25" i="30" s="1"/>
  <c r="Z17" i="30"/>
  <c r="AA17" i="30" s="1"/>
  <c r="Z9" i="30"/>
  <c r="AA9" i="30" s="1"/>
  <c r="Z68" i="30"/>
  <c r="AA68" i="30" s="1"/>
  <c r="Z64" i="30"/>
  <c r="AA64" i="30" s="1"/>
  <c r="Z60" i="30"/>
  <c r="AA60" i="30" s="1"/>
  <c r="Z56" i="30"/>
  <c r="AA56" i="30" s="1"/>
  <c r="Z52" i="30"/>
  <c r="AA52" i="30" s="1"/>
  <c r="Z48" i="30"/>
  <c r="AA48" i="30" s="1"/>
  <c r="Z44" i="30"/>
  <c r="AA44" i="30" s="1"/>
  <c r="Z40" i="30"/>
  <c r="AA40" i="30" s="1"/>
  <c r="Z36" i="30"/>
  <c r="AA36" i="30" s="1"/>
  <c r="Z32" i="30"/>
  <c r="AA32" i="30" s="1"/>
  <c r="Z28" i="30"/>
  <c r="AA28" i="30" s="1"/>
  <c r="Z24" i="30"/>
  <c r="AA24" i="30" s="1"/>
  <c r="Z20" i="30"/>
  <c r="AA20" i="30" s="1"/>
  <c r="Z16" i="30"/>
  <c r="AA16" i="30" s="1"/>
  <c r="Z12" i="30"/>
  <c r="AA12" i="30" s="1"/>
  <c r="Z8" i="30"/>
  <c r="AA8" i="30" s="1"/>
  <c r="Z65" i="30"/>
  <c r="AA65" i="30" s="1"/>
  <c r="Z57" i="30"/>
  <c r="AA57" i="30" s="1"/>
  <c r="Z45" i="30"/>
  <c r="AA45" i="30" s="1"/>
  <c r="Z37" i="30"/>
  <c r="AA37" i="30" s="1"/>
  <c r="Z29" i="30"/>
  <c r="AA29" i="30" s="1"/>
  <c r="Z21" i="30"/>
  <c r="AA21" i="30" s="1"/>
  <c r="Z13" i="30"/>
  <c r="AA13" i="30" s="1"/>
  <c r="Z67" i="30"/>
  <c r="AA67" i="30" s="1"/>
  <c r="Z63" i="30"/>
  <c r="AA63" i="30" s="1"/>
  <c r="Z59" i="30"/>
  <c r="AA59" i="30" s="1"/>
  <c r="Z55" i="30"/>
  <c r="AA55" i="30" s="1"/>
  <c r="Z51" i="30"/>
  <c r="AA51" i="30" s="1"/>
  <c r="Z47" i="30"/>
  <c r="AA47" i="30" s="1"/>
  <c r="Z43" i="30"/>
  <c r="AA43" i="30" s="1"/>
  <c r="Z39" i="30"/>
  <c r="AA39" i="30" s="1"/>
  <c r="Z35" i="30"/>
  <c r="AA35" i="30" s="1"/>
  <c r="Z31" i="30"/>
  <c r="AA31" i="30" s="1"/>
  <c r="Z27" i="30"/>
  <c r="AA27" i="30" s="1"/>
  <c r="Z23" i="30"/>
  <c r="AA23" i="30" s="1"/>
  <c r="Z19" i="30"/>
  <c r="AA19" i="30" s="1"/>
  <c r="Z15" i="30"/>
  <c r="AA15" i="30" s="1"/>
  <c r="Z11" i="30"/>
  <c r="AA11" i="30" s="1"/>
  <c r="Z7" i="30"/>
  <c r="AA7" i="30" s="1"/>
  <c r="AA21" i="29"/>
  <c r="AB21" i="29" s="1"/>
  <c r="X18" i="28"/>
  <c r="Y18" i="28" s="1"/>
  <c r="X65" i="28"/>
  <c r="Y65" i="28" s="1"/>
  <c r="X61" i="28"/>
  <c r="Y61" i="28" s="1"/>
  <c r="X53" i="28"/>
  <c r="Y53" i="28" s="1"/>
  <c r="X49" i="28"/>
  <c r="Y49" i="28" s="1"/>
  <c r="X41" i="28"/>
  <c r="Y41" i="28" s="1"/>
  <c r="X33" i="28"/>
  <c r="Y33" i="28" s="1"/>
  <c r="X29" i="28"/>
  <c r="Y29" i="28" s="1"/>
  <c r="X21" i="28"/>
  <c r="Y21" i="28" s="1"/>
  <c r="X13" i="28"/>
  <c r="Y13" i="28" s="1"/>
  <c r="X68" i="28"/>
  <c r="Y68" i="28" s="1"/>
  <c r="X64" i="28"/>
  <c r="Y64" i="28" s="1"/>
  <c r="X60" i="28"/>
  <c r="Y60" i="28" s="1"/>
  <c r="X56" i="28"/>
  <c r="Y56" i="28" s="1"/>
  <c r="X52" i="28"/>
  <c r="Y52" i="28" s="1"/>
  <c r="X48" i="28"/>
  <c r="Y48" i="28" s="1"/>
  <c r="X44" i="28"/>
  <c r="Y44" i="28" s="1"/>
  <c r="X40" i="28"/>
  <c r="Y40" i="28" s="1"/>
  <c r="X36" i="28"/>
  <c r="Y36" i="28" s="1"/>
  <c r="X32" i="28"/>
  <c r="Y32" i="28" s="1"/>
  <c r="X28" i="28"/>
  <c r="Y28" i="28" s="1"/>
  <c r="X24" i="28"/>
  <c r="Y24" i="28" s="1"/>
  <c r="X20" i="28"/>
  <c r="Y20" i="28" s="1"/>
  <c r="X16" i="28"/>
  <c r="Y16" i="28" s="1"/>
  <c r="X12" i="28"/>
  <c r="Y12" i="28" s="1"/>
  <c r="X8" i="28"/>
  <c r="Y8" i="28" s="1"/>
  <c r="X69" i="28"/>
  <c r="Y69" i="28" s="1"/>
  <c r="X57" i="28"/>
  <c r="Y57" i="28" s="1"/>
  <c r="X45" i="28"/>
  <c r="Y45" i="28" s="1"/>
  <c r="X37" i="28"/>
  <c r="Y37" i="28" s="1"/>
  <c r="X25" i="28"/>
  <c r="Y25" i="28" s="1"/>
  <c r="X17" i="28"/>
  <c r="Y17" i="28" s="1"/>
  <c r="X9" i="28"/>
  <c r="Y9" i="28" s="1"/>
  <c r="X67" i="28"/>
  <c r="Y67" i="28" s="1"/>
  <c r="X63" i="28"/>
  <c r="Y63" i="28" s="1"/>
  <c r="X59" i="28"/>
  <c r="Y59" i="28" s="1"/>
  <c r="X55" i="28"/>
  <c r="Y55" i="28" s="1"/>
  <c r="X51" i="28"/>
  <c r="Y51" i="28" s="1"/>
  <c r="X47" i="28"/>
  <c r="Y47" i="28" s="1"/>
  <c r="X43" i="28"/>
  <c r="Y43" i="28" s="1"/>
  <c r="X39" i="28"/>
  <c r="Y39" i="28" s="1"/>
  <c r="X35" i="28"/>
  <c r="Y35" i="28" s="1"/>
  <c r="X31" i="28"/>
  <c r="Y31" i="28" s="1"/>
  <c r="X27" i="28"/>
  <c r="Y27" i="28" s="1"/>
  <c r="X23" i="28"/>
  <c r="Y23" i="28" s="1"/>
  <c r="X19" i="28"/>
  <c r="Y19" i="28" s="1"/>
  <c r="X15" i="28"/>
  <c r="Y15" i="28" s="1"/>
  <c r="X11" i="28"/>
  <c r="Y11" i="28" s="1"/>
  <c r="X7" i="28"/>
  <c r="Y7" i="28" s="1"/>
  <c r="BQ8" i="27"/>
  <c r="BR8" i="27" s="1"/>
  <c r="BQ10" i="27"/>
  <c r="BR10" i="27" s="1"/>
  <c r="BQ12" i="27"/>
  <c r="BR12" i="27" s="1"/>
  <c r="BQ14" i="27"/>
  <c r="BR14" i="27" s="1"/>
  <c r="BQ16" i="27"/>
  <c r="BR16" i="27" s="1"/>
  <c r="BQ18" i="27"/>
  <c r="BR18" i="27" s="1"/>
  <c r="BQ21" i="27"/>
  <c r="BR21" i="27" s="1"/>
  <c r="BQ24" i="27"/>
  <c r="BR24" i="27" s="1"/>
  <c r="BQ27" i="27"/>
  <c r="BR27" i="27" s="1"/>
  <c r="BQ29" i="27"/>
  <c r="BR29" i="27" s="1"/>
  <c r="BQ31" i="27"/>
  <c r="BR31" i="27" s="1"/>
  <c r="BQ33" i="27"/>
  <c r="BR33" i="27" s="1"/>
  <c r="BQ36" i="27"/>
  <c r="BR36" i="27" s="1"/>
  <c r="BQ39" i="27"/>
  <c r="BR39" i="27" s="1"/>
  <c r="BQ41" i="27"/>
  <c r="BR41" i="27" s="1"/>
  <c r="BQ44" i="27"/>
  <c r="BR44" i="27" s="1"/>
  <c r="BQ46" i="27"/>
  <c r="BR46" i="27" s="1"/>
  <c r="BQ48" i="27"/>
  <c r="BR48" i="27" s="1"/>
  <c r="BQ51" i="27"/>
  <c r="BR51" i="27" s="1"/>
  <c r="BQ54" i="27"/>
  <c r="BR54" i="27" s="1"/>
  <c r="BQ57" i="27"/>
  <c r="BR57" i="27" s="1"/>
  <c r="BQ60" i="27"/>
  <c r="BR60" i="27" s="1"/>
  <c r="BQ63" i="27"/>
  <c r="BR63" i="27" s="1"/>
  <c r="BQ66" i="27"/>
  <c r="BR66" i="27" s="1"/>
  <c r="BQ69" i="27"/>
  <c r="BR69" i="27" s="1"/>
  <c r="BQ70" i="27"/>
  <c r="BR70" i="27" s="1"/>
  <c r="BQ17" i="27"/>
  <c r="BR17" i="27" s="1"/>
  <c r="BQ20" i="27"/>
  <c r="BR20" i="27" s="1"/>
  <c r="BQ25" i="27"/>
  <c r="BR25" i="27" s="1"/>
  <c r="BQ30" i="27"/>
  <c r="BR30" i="27" s="1"/>
  <c r="BQ35" i="27"/>
  <c r="BR35" i="27" s="1"/>
  <c r="BQ40" i="27"/>
  <c r="BR40" i="27" s="1"/>
  <c r="BQ45" i="27"/>
  <c r="BR45" i="27" s="1"/>
  <c r="BQ49" i="27"/>
  <c r="BR49" i="27" s="1"/>
  <c r="BQ52" i="27"/>
  <c r="BR52" i="27" s="1"/>
  <c r="BQ55" i="27"/>
  <c r="BR55" i="27" s="1"/>
  <c r="BQ58" i="27"/>
  <c r="BR58" i="27" s="1"/>
  <c r="BQ61" i="27"/>
  <c r="BR61" i="27" s="1"/>
  <c r="BQ65" i="27"/>
  <c r="BR65" i="27" s="1"/>
  <c r="BQ68" i="27"/>
  <c r="BR68" i="27" s="1"/>
  <c r="AL48" i="25"/>
  <c r="AC48" i="25"/>
  <c r="U48" i="25"/>
  <c r="M48" i="25"/>
  <c r="AL67" i="25"/>
  <c r="AC67" i="25"/>
  <c r="U67" i="25"/>
  <c r="M67" i="25"/>
  <c r="AL62" i="25"/>
  <c r="AC62" i="25"/>
  <c r="U62" i="25"/>
  <c r="M62" i="25"/>
  <c r="AL56" i="25"/>
  <c r="AC56" i="25"/>
  <c r="U56" i="25"/>
  <c r="M56" i="25"/>
  <c r="AL52" i="25"/>
  <c r="AC52" i="25"/>
  <c r="U52" i="25"/>
  <c r="M52" i="25"/>
  <c r="AL45" i="25"/>
  <c r="AC45" i="25"/>
  <c r="U45" i="25"/>
  <c r="M45" i="25"/>
  <c r="AL40" i="25"/>
  <c r="AC40" i="25"/>
  <c r="U40" i="25"/>
  <c r="M40" i="25"/>
  <c r="AL32" i="25"/>
  <c r="AC32" i="25"/>
  <c r="U32" i="25"/>
  <c r="M32" i="25"/>
  <c r="AL26" i="25"/>
  <c r="AC26" i="25"/>
  <c r="U26" i="25"/>
  <c r="M26" i="25"/>
  <c r="AL19" i="25"/>
  <c r="AC19" i="25"/>
  <c r="U19" i="25"/>
  <c r="M19" i="25"/>
  <c r="AL14" i="25"/>
  <c r="AC14" i="25"/>
  <c r="U14" i="25"/>
  <c r="M14" i="25"/>
  <c r="BM14" i="25" l="1"/>
  <c r="BM19" i="25"/>
  <c r="BM26" i="25"/>
  <c r="BM32" i="25"/>
  <c r="BM40" i="25"/>
  <c r="BM45" i="25"/>
  <c r="BM52" i="25"/>
  <c r="BM56" i="25"/>
  <c r="BM62" i="25"/>
  <c r="BM67" i="25"/>
  <c r="BM48" i="25"/>
  <c r="AL69" i="25"/>
  <c r="AC69" i="25"/>
  <c r="U69" i="25"/>
  <c r="M69" i="25"/>
  <c r="AL65" i="25"/>
  <c r="AC65" i="25"/>
  <c r="U65" i="25"/>
  <c r="M65" i="25"/>
  <c r="AL61" i="25"/>
  <c r="AC61" i="25"/>
  <c r="U61" i="25"/>
  <c r="M61" i="25"/>
  <c r="AL58" i="25"/>
  <c r="AC58" i="25"/>
  <c r="U58" i="25"/>
  <c r="M58" i="25"/>
  <c r="AL55" i="25"/>
  <c r="AC55" i="25"/>
  <c r="U55" i="25"/>
  <c r="M55" i="25"/>
  <c r="AL51" i="25"/>
  <c r="AC51" i="25"/>
  <c r="U51" i="25"/>
  <c r="M51" i="25"/>
  <c r="AL47" i="25"/>
  <c r="AC47" i="25"/>
  <c r="U47" i="25"/>
  <c r="M47" i="25"/>
  <c r="AL43" i="25"/>
  <c r="AC43" i="25"/>
  <c r="U43" i="25"/>
  <c r="M43" i="25"/>
  <c r="AL38" i="25"/>
  <c r="AC38" i="25"/>
  <c r="U38" i="25"/>
  <c r="M38" i="25"/>
  <c r="AL34" i="25"/>
  <c r="AC34" i="25"/>
  <c r="U34" i="25"/>
  <c r="M34" i="25"/>
  <c r="AL29" i="25"/>
  <c r="AC29" i="25"/>
  <c r="U29" i="25"/>
  <c r="M29" i="25"/>
  <c r="AL25" i="25"/>
  <c r="AC25" i="25"/>
  <c r="U25" i="25"/>
  <c r="M25" i="25"/>
  <c r="AL20" i="25"/>
  <c r="AC20" i="25"/>
  <c r="U20" i="25"/>
  <c r="M20" i="25"/>
  <c r="AL16" i="25"/>
  <c r="AC16" i="25"/>
  <c r="U16" i="25"/>
  <c r="M16" i="25"/>
  <c r="AL11" i="25"/>
  <c r="AC11" i="25"/>
  <c r="U11" i="25"/>
  <c r="M11" i="25"/>
  <c r="AL70" i="25"/>
  <c r="AC70" i="25"/>
  <c r="U70" i="25"/>
  <c r="M70" i="25"/>
  <c r="AL66" i="25"/>
  <c r="AC66" i="25"/>
  <c r="U66" i="25"/>
  <c r="M66" i="25"/>
  <c r="AL63" i="25"/>
  <c r="AC63" i="25"/>
  <c r="U63" i="25"/>
  <c r="M63" i="25"/>
  <c r="AL60" i="25"/>
  <c r="AC60" i="25"/>
  <c r="U60" i="25"/>
  <c r="M60" i="25"/>
  <c r="AL57" i="25"/>
  <c r="AC57" i="25"/>
  <c r="U57" i="25"/>
  <c r="M57" i="25"/>
  <c r="AL53" i="25"/>
  <c r="AC53" i="25"/>
  <c r="U53" i="25"/>
  <c r="M53" i="25"/>
  <c r="AL50" i="25"/>
  <c r="AC50" i="25"/>
  <c r="U50" i="25"/>
  <c r="M50" i="25"/>
  <c r="AL46" i="25"/>
  <c r="AC46" i="25"/>
  <c r="U46" i="25"/>
  <c r="M46" i="25"/>
  <c r="AL42" i="25"/>
  <c r="AC42" i="25"/>
  <c r="U42" i="25"/>
  <c r="M42" i="25"/>
  <c r="AL39" i="25"/>
  <c r="AC39" i="25"/>
  <c r="U39" i="25"/>
  <c r="M39" i="25"/>
  <c r="AL36" i="25"/>
  <c r="AC36" i="25"/>
  <c r="U36" i="25"/>
  <c r="M36" i="25"/>
  <c r="AL33" i="25"/>
  <c r="AC33" i="25"/>
  <c r="U33" i="25"/>
  <c r="M33" i="25"/>
  <c r="AL30" i="25"/>
  <c r="AC30" i="25"/>
  <c r="U30" i="25"/>
  <c r="M30" i="25"/>
  <c r="AL27" i="25"/>
  <c r="AC27" i="25"/>
  <c r="U27" i="25"/>
  <c r="M27" i="25"/>
  <c r="AL24" i="25"/>
  <c r="AC24" i="25"/>
  <c r="U24" i="25"/>
  <c r="M24" i="25"/>
  <c r="AL21" i="25"/>
  <c r="AC21" i="25"/>
  <c r="U21" i="25"/>
  <c r="M21" i="25"/>
  <c r="AL18" i="25"/>
  <c r="AC18" i="25"/>
  <c r="U18" i="25"/>
  <c r="M18" i="25"/>
  <c r="AL15" i="25"/>
  <c r="AC15" i="25"/>
  <c r="U15" i="25"/>
  <c r="M15" i="25"/>
  <c r="AL12" i="25"/>
  <c r="AC12" i="25"/>
  <c r="U12" i="25"/>
  <c r="M12" i="25"/>
  <c r="AL10" i="25"/>
  <c r="AC10" i="25"/>
  <c r="U10" i="25"/>
  <c r="M10" i="25"/>
  <c r="AL8" i="25"/>
  <c r="AC8" i="25"/>
  <c r="U8" i="25"/>
  <c r="M8" i="25"/>
  <c r="O55" i="24"/>
  <c r="O45" i="24"/>
  <c r="O38" i="24"/>
  <c r="O26" i="24"/>
  <c r="AM62" i="24"/>
  <c r="AE62" i="24"/>
  <c r="W62" i="24"/>
  <c r="O62" i="24"/>
  <c r="AM65" i="24"/>
  <c r="AE65" i="24"/>
  <c r="W65" i="24"/>
  <c r="O65" i="24"/>
  <c r="AM58" i="24"/>
  <c r="AE58" i="24"/>
  <c r="W58" i="24"/>
  <c r="O58" i="24"/>
  <c r="AM48" i="24"/>
  <c r="AE48" i="24"/>
  <c r="W48" i="24"/>
  <c r="O48" i="24"/>
  <c r="AM39" i="24"/>
  <c r="AE39" i="24"/>
  <c r="W39" i="24"/>
  <c r="O39" i="24"/>
  <c r="AM33" i="24"/>
  <c r="AE33" i="24"/>
  <c r="W33" i="24"/>
  <c r="O33" i="24"/>
  <c r="AM27" i="24"/>
  <c r="AE27" i="24"/>
  <c r="W27" i="24"/>
  <c r="O27" i="24"/>
  <c r="AM23" i="24"/>
  <c r="AE23" i="24"/>
  <c r="W23" i="24"/>
  <c r="O23" i="24"/>
  <c r="AM18" i="24"/>
  <c r="AE18" i="24"/>
  <c r="W18" i="24"/>
  <c r="O18" i="24"/>
  <c r="AM14" i="24"/>
  <c r="AE14" i="24"/>
  <c r="W14" i="24"/>
  <c r="O14" i="24"/>
  <c r="AM67" i="24"/>
  <c r="AE67" i="24"/>
  <c r="W67" i="24"/>
  <c r="O67" i="24"/>
  <c r="AM68" i="24"/>
  <c r="AE68" i="24"/>
  <c r="W68" i="24"/>
  <c r="O68" i="24"/>
  <c r="AM64" i="24"/>
  <c r="AE64" i="24"/>
  <c r="W64" i="24"/>
  <c r="O64" i="24"/>
  <c r="AM59" i="24"/>
  <c r="AE59" i="24"/>
  <c r="W59" i="24"/>
  <c r="O59" i="24"/>
  <c r="AM56" i="24"/>
  <c r="AE56" i="24"/>
  <c r="W56" i="24"/>
  <c r="O56" i="24"/>
  <c r="AM53" i="24"/>
  <c r="AE53" i="24"/>
  <c r="W53" i="24"/>
  <c r="O53" i="24"/>
  <c r="AM50" i="24"/>
  <c r="AE50" i="24"/>
  <c r="W50" i="24"/>
  <c r="O50" i="24"/>
  <c r="AM47" i="24"/>
  <c r="AE47" i="24"/>
  <c r="W47" i="24"/>
  <c r="O47" i="24"/>
  <c r="AM44" i="24"/>
  <c r="AE44" i="24"/>
  <c r="W44" i="24"/>
  <c r="O44" i="24"/>
  <c r="AM41" i="24"/>
  <c r="AE41" i="24"/>
  <c r="W41" i="24"/>
  <c r="O41" i="24"/>
  <c r="AM36" i="24"/>
  <c r="AE36" i="24"/>
  <c r="W36" i="24"/>
  <c r="O36" i="24"/>
  <c r="AM32" i="24"/>
  <c r="AE32" i="24"/>
  <c r="W32" i="24"/>
  <c r="O32" i="24"/>
  <c r="AM29" i="24"/>
  <c r="AE29" i="24"/>
  <c r="W29" i="24"/>
  <c r="O29" i="24"/>
  <c r="AM24" i="24"/>
  <c r="AE24" i="24"/>
  <c r="W24" i="24"/>
  <c r="O24" i="24"/>
  <c r="AM21" i="24"/>
  <c r="AE21" i="24"/>
  <c r="W21" i="24"/>
  <c r="O21" i="24"/>
  <c r="AM17" i="24"/>
  <c r="AE17" i="24"/>
  <c r="W17" i="24"/>
  <c r="O17" i="24"/>
  <c r="AM12" i="24"/>
  <c r="AE12" i="24"/>
  <c r="W12" i="24"/>
  <c r="O12" i="24"/>
  <c r="AM70" i="24"/>
  <c r="AE70" i="24"/>
  <c r="W70" i="24"/>
  <c r="O70" i="24"/>
  <c r="AM69" i="24"/>
  <c r="AE69" i="24"/>
  <c r="W69" i="24"/>
  <c r="O69" i="24"/>
  <c r="AM66" i="24"/>
  <c r="AE66" i="24"/>
  <c r="W66" i="24"/>
  <c r="O66" i="24"/>
  <c r="AM63" i="24"/>
  <c r="AE63" i="24"/>
  <c r="W63" i="24"/>
  <c r="O63" i="24"/>
  <c r="AM60" i="24"/>
  <c r="AE60" i="24"/>
  <c r="W60" i="24"/>
  <c r="O60" i="24"/>
  <c r="AM57" i="24"/>
  <c r="AE57" i="24"/>
  <c r="W57" i="24"/>
  <c r="O57" i="24"/>
  <c r="AM54" i="24"/>
  <c r="AE54" i="24"/>
  <c r="W54" i="24"/>
  <c r="O54" i="24"/>
  <c r="AM51" i="24"/>
  <c r="AE51" i="24"/>
  <c r="W51" i="24"/>
  <c r="O51" i="24"/>
  <c r="AM49" i="24"/>
  <c r="AE49" i="24"/>
  <c r="W49" i="24"/>
  <c r="O49" i="24"/>
  <c r="AM46" i="24"/>
  <c r="AE46" i="24"/>
  <c r="W46" i="24"/>
  <c r="O46" i="24"/>
  <c r="AM43" i="24"/>
  <c r="AE43" i="24"/>
  <c r="W43" i="24"/>
  <c r="O43" i="24"/>
  <c r="AM40" i="24"/>
  <c r="AE40" i="24"/>
  <c r="W40" i="24"/>
  <c r="O40" i="24"/>
  <c r="AM37" i="24"/>
  <c r="AE37" i="24"/>
  <c r="W37" i="24"/>
  <c r="O37" i="24"/>
  <c r="AM34" i="24"/>
  <c r="AE34" i="24"/>
  <c r="W34" i="24"/>
  <c r="O34" i="24"/>
  <c r="AM31" i="24"/>
  <c r="AE31" i="24"/>
  <c r="W31" i="24"/>
  <c r="O31" i="24"/>
  <c r="AM28" i="24"/>
  <c r="AE28" i="24"/>
  <c r="W28" i="24"/>
  <c r="O28" i="24"/>
  <c r="AM25" i="24"/>
  <c r="AE25" i="24"/>
  <c r="W25" i="24"/>
  <c r="O25" i="24"/>
  <c r="AM22" i="24"/>
  <c r="AE22" i="24"/>
  <c r="W22" i="24"/>
  <c r="O22" i="24"/>
  <c r="AM19" i="24"/>
  <c r="AE19" i="24"/>
  <c r="W19" i="24"/>
  <c r="O19" i="24"/>
  <c r="AM16" i="24"/>
  <c r="AE16" i="24"/>
  <c r="W16" i="24"/>
  <c r="O16" i="24"/>
  <c r="AM13" i="24"/>
  <c r="AE13" i="24"/>
  <c r="W13" i="24"/>
  <c r="O13" i="24"/>
  <c r="AM10" i="24"/>
  <c r="AE10" i="24"/>
  <c r="W10" i="24"/>
  <c r="O10" i="24"/>
  <c r="AM8" i="24"/>
  <c r="AE8" i="24"/>
  <c r="W8" i="24"/>
  <c r="O8" i="24"/>
  <c r="BO10" i="24" l="1"/>
  <c r="BO16" i="24"/>
  <c r="BO22" i="24"/>
  <c r="BO25" i="24"/>
  <c r="BO31" i="24"/>
  <c r="BO37" i="24"/>
  <c r="BO43" i="24"/>
  <c r="BO49" i="24"/>
  <c r="BO54" i="24"/>
  <c r="BO60" i="24"/>
  <c r="BO66" i="24"/>
  <c r="BO70" i="24"/>
  <c r="BO12" i="24"/>
  <c r="BO21" i="24"/>
  <c r="BO24" i="24"/>
  <c r="BO29" i="24"/>
  <c r="BO32" i="24"/>
  <c r="BO36" i="24"/>
  <c r="BO41" i="24"/>
  <c r="BO44" i="24"/>
  <c r="BO47" i="24"/>
  <c r="BO50" i="24"/>
  <c r="BO53" i="24"/>
  <c r="BO56" i="24"/>
  <c r="BO59" i="24"/>
  <c r="BO64" i="24"/>
  <c r="BO68" i="24"/>
  <c r="BO67" i="24"/>
  <c r="BO14" i="24"/>
  <c r="BO18" i="24"/>
  <c r="BO23" i="24"/>
  <c r="BO27" i="24"/>
  <c r="BO33" i="24"/>
  <c r="BO39" i="24"/>
  <c r="BO48" i="24"/>
  <c r="BO58" i="24"/>
  <c r="BO65" i="24"/>
  <c r="BO62" i="24"/>
  <c r="BO8" i="24"/>
  <c r="BO13" i="24"/>
  <c r="BO19" i="24"/>
  <c r="BO28" i="24"/>
  <c r="BO34" i="24"/>
  <c r="BO40" i="24"/>
  <c r="BO46" i="24"/>
  <c r="BO51" i="24"/>
  <c r="BO57" i="24"/>
  <c r="BO63" i="24"/>
  <c r="BO69" i="24"/>
  <c r="BO17" i="24"/>
  <c r="BM8" i="25"/>
  <c r="BM10" i="25"/>
  <c r="BM12" i="25"/>
  <c r="BM15" i="25"/>
  <c r="BM18" i="25"/>
  <c r="BM21" i="25"/>
  <c r="BM24" i="25"/>
  <c r="BM27" i="25"/>
  <c r="BM30" i="25"/>
  <c r="BM33" i="25"/>
  <c r="BM36" i="25"/>
  <c r="BM39" i="25"/>
  <c r="BM42" i="25"/>
  <c r="BM46" i="25"/>
  <c r="BM50" i="25"/>
  <c r="BM53" i="25"/>
  <c r="BM57" i="25"/>
  <c r="BM60" i="25"/>
  <c r="BM63" i="25"/>
  <c r="BM66" i="25"/>
  <c r="BM70" i="25"/>
  <c r="BM11" i="25"/>
  <c r="BM16" i="25"/>
  <c r="BM20" i="25"/>
  <c r="BM25" i="25"/>
  <c r="BM29" i="25"/>
  <c r="BM34" i="25"/>
  <c r="BM38" i="25"/>
  <c r="BM43" i="25"/>
  <c r="BM47" i="25"/>
  <c r="BM51" i="25"/>
  <c r="BM55" i="25"/>
  <c r="BM58" i="25"/>
  <c r="BM61" i="25"/>
  <c r="BM65" i="25"/>
  <c r="BM69" i="25"/>
  <c r="AO68" i="23"/>
  <c r="BP68" i="23"/>
  <c r="BQ68" i="23" s="1"/>
  <c r="AO64" i="23"/>
  <c r="BP64" i="23"/>
  <c r="BQ64" i="23" s="1"/>
  <c r="AO60" i="23"/>
  <c r="BP60" i="23"/>
  <c r="BQ60" i="23" s="1"/>
  <c r="AO59" i="23"/>
  <c r="BP59" i="23"/>
  <c r="BQ59" i="23" s="1"/>
  <c r="AO55" i="23"/>
  <c r="BP55" i="23"/>
  <c r="BQ55" i="23" s="1"/>
  <c r="AO52" i="23"/>
  <c r="BP52" i="23"/>
  <c r="BQ52" i="23" s="1"/>
  <c r="AO47" i="23"/>
  <c r="BP47" i="23"/>
  <c r="BQ47" i="23" s="1"/>
  <c r="AO45" i="23"/>
  <c r="BP45" i="23"/>
  <c r="BQ45" i="23" s="1"/>
  <c r="AO41" i="23"/>
  <c r="BP41" i="23"/>
  <c r="BQ41" i="23" s="1"/>
  <c r="AO37" i="23"/>
  <c r="BP37" i="23"/>
  <c r="BQ37" i="23" s="1"/>
  <c r="AO33" i="23"/>
  <c r="BP33" i="23"/>
  <c r="BQ33" i="23" s="1"/>
  <c r="AO30" i="23"/>
  <c r="BP30" i="23"/>
  <c r="BQ30" i="23" s="1"/>
  <c r="AO26" i="23"/>
  <c r="BP26" i="23"/>
  <c r="BQ26" i="23" s="1"/>
  <c r="AO21" i="23"/>
  <c r="BP21" i="23"/>
  <c r="BQ21" i="23" s="1"/>
  <c r="AO19" i="23"/>
  <c r="BP19" i="23"/>
  <c r="BQ19" i="23" s="1"/>
  <c r="AO67" i="23"/>
  <c r="BP67" i="23"/>
  <c r="BQ67" i="23" s="1"/>
  <c r="AO63" i="23"/>
  <c r="BP63" i="23"/>
  <c r="BQ63" i="23" s="1"/>
  <c r="AO57" i="23"/>
  <c r="BP57" i="23"/>
  <c r="BQ57" i="23" s="1"/>
  <c r="AO50" i="23"/>
  <c r="BP50" i="23"/>
  <c r="BQ50" i="23" s="1"/>
  <c r="AO42" i="23"/>
  <c r="BP42" i="23"/>
  <c r="BQ42" i="23" s="1"/>
  <c r="AO38" i="23"/>
  <c r="BP38" i="23"/>
  <c r="BQ38" i="23" s="1"/>
  <c r="AO34" i="23"/>
  <c r="BP34" i="23"/>
  <c r="BQ34" i="23" s="1"/>
  <c r="AO31" i="23"/>
  <c r="BP31" i="23"/>
  <c r="BQ31" i="23" s="1"/>
  <c r="AO25" i="23"/>
  <c r="BP25" i="23"/>
  <c r="BQ25" i="23" s="1"/>
  <c r="AO15" i="23"/>
  <c r="BP15" i="23"/>
  <c r="BQ15" i="23" s="1"/>
  <c r="AO70" i="23"/>
  <c r="BP70" i="23"/>
  <c r="BQ70" i="23" s="1"/>
  <c r="AO65" i="23"/>
  <c r="BP65" i="23"/>
  <c r="BQ65" i="23" s="1"/>
  <c r="AO61" i="23"/>
  <c r="BP61" i="23"/>
  <c r="BQ61" i="23" s="1"/>
  <c r="AO58" i="23"/>
  <c r="BP58" i="23"/>
  <c r="BQ58" i="23" s="1"/>
  <c r="AO54" i="23"/>
  <c r="BP54" i="23"/>
  <c r="BQ54" i="23" s="1"/>
  <c r="AO48" i="23"/>
  <c r="BP48" i="23"/>
  <c r="BQ48" i="23" s="1"/>
  <c r="AO44" i="23"/>
  <c r="BP44" i="23"/>
  <c r="BQ44" i="23" s="1"/>
  <c r="AO40" i="23"/>
  <c r="BP40" i="23"/>
  <c r="BQ40" i="23" s="1"/>
  <c r="AO35" i="23"/>
  <c r="BP35" i="23"/>
  <c r="BQ35" i="23" s="1"/>
  <c r="AO32" i="23"/>
  <c r="BP32" i="23"/>
  <c r="BQ32" i="23" s="1"/>
  <c r="AO28" i="23"/>
  <c r="BP28" i="23"/>
  <c r="BQ28" i="23" s="1"/>
  <c r="AO23" i="23"/>
  <c r="BP23" i="23"/>
  <c r="BQ23" i="23" s="1"/>
  <c r="AO17" i="23"/>
  <c r="BP17" i="23"/>
  <c r="BQ17" i="23" s="1"/>
  <c r="AO13" i="23"/>
  <c r="BP13" i="23"/>
  <c r="BQ13" i="23" s="1"/>
  <c r="AO69" i="23"/>
  <c r="BP69" i="23"/>
  <c r="BQ69" i="23" s="1"/>
  <c r="AO66" i="23"/>
  <c r="BP66" i="23"/>
  <c r="BQ66" i="23" s="1"/>
  <c r="AO62" i="23"/>
  <c r="BP62" i="23"/>
  <c r="BQ62" i="23" s="1"/>
  <c r="AO56" i="23"/>
  <c r="BP56" i="23"/>
  <c r="BQ56" i="23" s="1"/>
  <c r="AO53" i="23"/>
  <c r="BP53" i="23"/>
  <c r="BQ53" i="23" s="1"/>
  <c r="AO51" i="23"/>
  <c r="BP51" i="23"/>
  <c r="BQ51" i="23" s="1"/>
  <c r="AO49" i="23"/>
  <c r="BP49" i="23"/>
  <c r="BQ49" i="23" s="1"/>
  <c r="AO46" i="23"/>
  <c r="BP46" i="23"/>
  <c r="BQ46" i="23" s="1"/>
  <c r="AO43" i="23"/>
  <c r="BP43" i="23"/>
  <c r="BQ43" i="23" s="1"/>
  <c r="AO39" i="23"/>
  <c r="BP39" i="23"/>
  <c r="BQ39" i="23" s="1"/>
  <c r="AO36" i="23"/>
  <c r="BP36" i="23"/>
  <c r="BQ36" i="23" s="1"/>
  <c r="AO29" i="23"/>
  <c r="BP29" i="23"/>
  <c r="BQ29" i="23" s="1"/>
  <c r="AO27" i="23"/>
  <c r="BP27" i="23"/>
  <c r="BQ27" i="23" s="1"/>
  <c r="AO24" i="23"/>
  <c r="BP24" i="23"/>
  <c r="BQ24" i="23" s="1"/>
  <c r="AO22" i="23"/>
  <c r="BP22" i="23"/>
  <c r="BQ22" i="23" s="1"/>
  <c r="AO20" i="23"/>
  <c r="BP20" i="23"/>
  <c r="BQ20" i="23" s="1"/>
  <c r="AO18" i="23"/>
  <c r="BP18" i="23"/>
  <c r="BQ18" i="23" s="1"/>
  <c r="AO16" i="23"/>
  <c r="BP16" i="23"/>
  <c r="BQ16" i="23" s="1"/>
  <c r="AO14" i="23"/>
  <c r="BP14" i="23"/>
  <c r="BQ14" i="23" s="1"/>
  <c r="AO12" i="23"/>
  <c r="BP12" i="23"/>
  <c r="BQ12" i="23" s="1"/>
  <c r="AO10" i="23"/>
  <c r="BP10" i="23"/>
  <c r="BQ10" i="23" s="1"/>
  <c r="AO8" i="23"/>
  <c r="BP8" i="23"/>
  <c r="BQ8" i="23" s="1"/>
  <c r="AO9" i="23"/>
  <c r="BP9" i="23" l="1"/>
  <c r="BQ9" i="23" s="1"/>
  <c r="N6" i="32"/>
  <c r="N7" i="32"/>
  <c r="N8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N32" i="32"/>
  <c r="N33" i="32"/>
  <c r="N34" i="32"/>
  <c r="N35" i="32"/>
  <c r="N36" i="32"/>
  <c r="N37" i="32"/>
  <c r="N38" i="32"/>
  <c r="N39" i="32"/>
  <c r="N40" i="32"/>
  <c r="N41" i="32"/>
  <c r="N42" i="32"/>
  <c r="N43" i="32"/>
  <c r="N44" i="32"/>
  <c r="N45" i="32"/>
  <c r="N46" i="32"/>
  <c r="N47" i="32"/>
  <c r="N48" i="32"/>
  <c r="N49" i="32"/>
  <c r="N50" i="32"/>
  <c r="N51" i="32"/>
  <c r="N52" i="32"/>
  <c r="N53" i="32"/>
  <c r="N54" i="32"/>
  <c r="N55" i="32"/>
  <c r="N56" i="32"/>
  <c r="N57" i="32"/>
  <c r="N58" i="32"/>
  <c r="N59" i="32"/>
  <c r="N60" i="32"/>
  <c r="N61" i="32"/>
  <c r="N62" i="32"/>
  <c r="N63" i="32"/>
  <c r="N64" i="32"/>
  <c r="N65" i="32"/>
  <c r="N66" i="32"/>
  <c r="N67" i="32"/>
  <c r="N68" i="32"/>
  <c r="N69" i="32"/>
  <c r="N70" i="32"/>
  <c r="L6" i="32"/>
  <c r="L7" i="32"/>
  <c r="L8" i="32"/>
  <c r="L9" i="32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51" i="32"/>
  <c r="L52" i="32"/>
  <c r="L53" i="32"/>
  <c r="L54" i="32"/>
  <c r="L55" i="32"/>
  <c r="L56" i="32"/>
  <c r="L57" i="32"/>
  <c r="L58" i="32"/>
  <c r="L59" i="32"/>
  <c r="L60" i="32"/>
  <c r="L61" i="32"/>
  <c r="L62" i="32"/>
  <c r="L63" i="32"/>
  <c r="L64" i="32"/>
  <c r="L65" i="32"/>
  <c r="L66" i="32"/>
  <c r="L67" i="32"/>
  <c r="L68" i="32"/>
  <c r="L69" i="32"/>
  <c r="L70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F6" i="32"/>
  <c r="F7" i="32"/>
  <c r="F8" i="32"/>
  <c r="F9" i="32"/>
  <c r="Y9" i="32" s="1"/>
  <c r="Z9" i="32" s="1"/>
  <c r="F10" i="32"/>
  <c r="F11" i="32"/>
  <c r="F12" i="32"/>
  <c r="F13" i="32"/>
  <c r="Y13" i="32" s="1"/>
  <c r="Z13" i="32" s="1"/>
  <c r="F14" i="32"/>
  <c r="F15" i="32"/>
  <c r="F16" i="32"/>
  <c r="F17" i="32"/>
  <c r="Y17" i="32" s="1"/>
  <c r="Z17" i="32" s="1"/>
  <c r="F18" i="32"/>
  <c r="F19" i="32"/>
  <c r="F20" i="32"/>
  <c r="F21" i="32"/>
  <c r="Y21" i="32" s="1"/>
  <c r="Z21" i="32" s="1"/>
  <c r="F22" i="32"/>
  <c r="F23" i="32"/>
  <c r="F24" i="32"/>
  <c r="F25" i="32"/>
  <c r="Y25" i="32" s="1"/>
  <c r="Z25" i="32" s="1"/>
  <c r="F26" i="32"/>
  <c r="F27" i="32"/>
  <c r="F28" i="32"/>
  <c r="F29" i="32"/>
  <c r="Y29" i="32" s="1"/>
  <c r="Z29" i="32" s="1"/>
  <c r="F30" i="32"/>
  <c r="F31" i="32"/>
  <c r="F32" i="32"/>
  <c r="F33" i="32"/>
  <c r="Y33" i="32" s="1"/>
  <c r="Z33" i="32" s="1"/>
  <c r="F34" i="32"/>
  <c r="F35" i="32"/>
  <c r="F36" i="32"/>
  <c r="F37" i="32"/>
  <c r="Y37" i="32" s="1"/>
  <c r="Z37" i="32" s="1"/>
  <c r="F38" i="32"/>
  <c r="F39" i="32"/>
  <c r="F40" i="32"/>
  <c r="F41" i="32"/>
  <c r="Y41" i="32" s="1"/>
  <c r="Z41" i="32" s="1"/>
  <c r="F42" i="32"/>
  <c r="F43" i="32"/>
  <c r="F44" i="32"/>
  <c r="F45" i="32"/>
  <c r="Y45" i="32" s="1"/>
  <c r="Z45" i="32" s="1"/>
  <c r="F46" i="32"/>
  <c r="F47" i="32"/>
  <c r="F48" i="32"/>
  <c r="F49" i="32"/>
  <c r="Y49" i="32" s="1"/>
  <c r="Z49" i="32" s="1"/>
  <c r="F50" i="32"/>
  <c r="F51" i="32"/>
  <c r="F52" i="32"/>
  <c r="F53" i="32"/>
  <c r="Y53" i="32" s="1"/>
  <c r="Z53" i="32" s="1"/>
  <c r="F54" i="32"/>
  <c r="F55" i="32"/>
  <c r="F56" i="32"/>
  <c r="F57" i="32"/>
  <c r="Y57" i="32" s="1"/>
  <c r="Z57" i="32" s="1"/>
  <c r="F58" i="32"/>
  <c r="F59" i="32"/>
  <c r="F60" i="32"/>
  <c r="F61" i="32"/>
  <c r="Y61" i="32" s="1"/>
  <c r="Z61" i="32" s="1"/>
  <c r="F62" i="32"/>
  <c r="F63" i="32"/>
  <c r="F64" i="32"/>
  <c r="F65" i="32"/>
  <c r="Y65" i="32" s="1"/>
  <c r="Z65" i="32" s="1"/>
  <c r="F66" i="32"/>
  <c r="F67" i="32"/>
  <c r="F68" i="32"/>
  <c r="F69" i="32"/>
  <c r="Y69" i="32" s="1"/>
  <c r="Z69" i="32" s="1"/>
  <c r="F70" i="32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L62" i="31"/>
  <c r="L63" i="31"/>
  <c r="L64" i="31"/>
  <c r="L65" i="31"/>
  <c r="L66" i="31"/>
  <c r="L67" i="31"/>
  <c r="L68" i="31"/>
  <c r="L69" i="31"/>
  <c r="L70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F6" i="31"/>
  <c r="F7" i="31"/>
  <c r="F8" i="31"/>
  <c r="F9" i="31"/>
  <c r="Y9" i="31" s="1"/>
  <c r="Z9" i="31" s="1"/>
  <c r="F10" i="31"/>
  <c r="F11" i="31"/>
  <c r="F12" i="31"/>
  <c r="F13" i="31"/>
  <c r="Y13" i="31" s="1"/>
  <c r="Z13" i="31" s="1"/>
  <c r="F14" i="31"/>
  <c r="F15" i="31"/>
  <c r="F16" i="31"/>
  <c r="F17" i="31"/>
  <c r="Y17" i="31" s="1"/>
  <c r="Z17" i="31" s="1"/>
  <c r="F18" i="31"/>
  <c r="F19" i="31"/>
  <c r="F20" i="31"/>
  <c r="F21" i="31"/>
  <c r="Y21" i="31" s="1"/>
  <c r="Z21" i="31" s="1"/>
  <c r="F22" i="31"/>
  <c r="F23" i="31"/>
  <c r="F24" i="31"/>
  <c r="F25" i="31"/>
  <c r="Y25" i="31" s="1"/>
  <c r="Z25" i="31" s="1"/>
  <c r="F26" i="31"/>
  <c r="F27" i="31"/>
  <c r="F28" i="31"/>
  <c r="F29" i="31"/>
  <c r="Y29" i="31" s="1"/>
  <c r="Z29" i="31" s="1"/>
  <c r="F30" i="31"/>
  <c r="F31" i="31"/>
  <c r="F32" i="31"/>
  <c r="F33" i="31"/>
  <c r="Y33" i="31" s="1"/>
  <c r="Z33" i="31" s="1"/>
  <c r="F34" i="31"/>
  <c r="F35" i="31"/>
  <c r="F36" i="31"/>
  <c r="F37" i="31"/>
  <c r="Y37" i="31" s="1"/>
  <c r="Z37" i="31" s="1"/>
  <c r="F38" i="31"/>
  <c r="F39" i="31"/>
  <c r="F40" i="31"/>
  <c r="F41" i="31"/>
  <c r="Y41" i="31" s="1"/>
  <c r="Z41" i="31" s="1"/>
  <c r="F42" i="31"/>
  <c r="F43" i="31"/>
  <c r="F44" i="31"/>
  <c r="F45" i="31"/>
  <c r="Y45" i="31" s="1"/>
  <c r="Z45" i="31" s="1"/>
  <c r="F46" i="31"/>
  <c r="F47" i="31"/>
  <c r="F48" i="31"/>
  <c r="F49" i="31"/>
  <c r="Y49" i="31" s="1"/>
  <c r="Z49" i="31" s="1"/>
  <c r="F50" i="31"/>
  <c r="F51" i="31"/>
  <c r="F52" i="31"/>
  <c r="F53" i="31"/>
  <c r="Y53" i="31" s="1"/>
  <c r="Z53" i="31" s="1"/>
  <c r="F54" i="31"/>
  <c r="F55" i="31"/>
  <c r="F56" i="31"/>
  <c r="F57" i="31"/>
  <c r="Y57" i="31" s="1"/>
  <c r="Z57" i="31" s="1"/>
  <c r="F58" i="31"/>
  <c r="F59" i="31"/>
  <c r="F60" i="31"/>
  <c r="F61" i="31"/>
  <c r="Y61" i="31" s="1"/>
  <c r="Z61" i="31" s="1"/>
  <c r="F62" i="31"/>
  <c r="F63" i="31"/>
  <c r="F64" i="31"/>
  <c r="F65" i="31"/>
  <c r="Y65" i="31" s="1"/>
  <c r="Z65" i="31" s="1"/>
  <c r="F66" i="31"/>
  <c r="F67" i="31"/>
  <c r="F68" i="31"/>
  <c r="F69" i="31"/>
  <c r="Y69" i="31" s="1"/>
  <c r="Z69" i="31" s="1"/>
  <c r="F70" i="31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L6" i="29"/>
  <c r="L7" i="29"/>
  <c r="L8" i="29"/>
  <c r="L9" i="29"/>
  <c r="L10" i="29"/>
  <c r="L11" i="29"/>
  <c r="L12" i="29"/>
  <c r="L13" i="29"/>
  <c r="L14" i="29"/>
  <c r="L15" i="29"/>
  <c r="L16" i="29"/>
  <c r="L17" i="29"/>
  <c r="L18" i="29"/>
  <c r="L19" i="29"/>
  <c r="L20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G6" i="29"/>
  <c r="G7" i="29"/>
  <c r="AA7" i="29" s="1"/>
  <c r="AB7" i="29" s="1"/>
  <c r="G8" i="29"/>
  <c r="G9" i="29"/>
  <c r="G10" i="29"/>
  <c r="G11" i="29"/>
  <c r="AA11" i="29" s="1"/>
  <c r="AB11" i="29" s="1"/>
  <c r="G12" i="29"/>
  <c r="G13" i="29"/>
  <c r="G14" i="29"/>
  <c r="G15" i="29"/>
  <c r="AA15" i="29" s="1"/>
  <c r="AB15" i="29" s="1"/>
  <c r="G16" i="29"/>
  <c r="G17" i="29"/>
  <c r="G18" i="29"/>
  <c r="G19" i="29"/>
  <c r="AA19" i="29" s="1"/>
  <c r="AB19" i="29" s="1"/>
  <c r="G20" i="29"/>
  <c r="AO5" i="23"/>
  <c r="Y68" i="32" l="1"/>
  <c r="Z68" i="32" s="1"/>
  <c r="Y64" i="32"/>
  <c r="Z64" i="32" s="1"/>
  <c r="Y60" i="32"/>
  <c r="Z60" i="32" s="1"/>
  <c r="Y56" i="32"/>
  <c r="Z56" i="32" s="1"/>
  <c r="Y52" i="32"/>
  <c r="Z52" i="32" s="1"/>
  <c r="Y48" i="32"/>
  <c r="Z48" i="32" s="1"/>
  <c r="Y44" i="32"/>
  <c r="Z44" i="32" s="1"/>
  <c r="Y40" i="32"/>
  <c r="Z40" i="32" s="1"/>
  <c r="Y36" i="32"/>
  <c r="Z36" i="32" s="1"/>
  <c r="Y32" i="32"/>
  <c r="Z32" i="32" s="1"/>
  <c r="Y28" i="32"/>
  <c r="Z28" i="32" s="1"/>
  <c r="Y24" i="32"/>
  <c r="Z24" i="32" s="1"/>
  <c r="Y20" i="32"/>
  <c r="Z20" i="32" s="1"/>
  <c r="Y16" i="32"/>
  <c r="Z16" i="32" s="1"/>
  <c r="Y12" i="32"/>
  <c r="Z12" i="32" s="1"/>
  <c r="Y8" i="32"/>
  <c r="Z8" i="32" s="1"/>
  <c r="Y67" i="32"/>
  <c r="Z67" i="32" s="1"/>
  <c r="Y63" i="32"/>
  <c r="Z63" i="32" s="1"/>
  <c r="Y59" i="32"/>
  <c r="Z59" i="32" s="1"/>
  <c r="Y55" i="32"/>
  <c r="Z55" i="32" s="1"/>
  <c r="Y51" i="32"/>
  <c r="Z51" i="32" s="1"/>
  <c r="Y47" i="32"/>
  <c r="Z47" i="32" s="1"/>
  <c r="Y43" i="32"/>
  <c r="Z43" i="32" s="1"/>
  <c r="Y39" i="32"/>
  <c r="Z39" i="32" s="1"/>
  <c r="Y35" i="32"/>
  <c r="Z35" i="32" s="1"/>
  <c r="Y31" i="32"/>
  <c r="Z31" i="32" s="1"/>
  <c r="Y27" i="32"/>
  <c r="Z27" i="32" s="1"/>
  <c r="Y23" i="32"/>
  <c r="Z23" i="32" s="1"/>
  <c r="Y19" i="32"/>
  <c r="Z19" i="32" s="1"/>
  <c r="Y15" i="32"/>
  <c r="Z15" i="32" s="1"/>
  <c r="Y11" i="32"/>
  <c r="Z11" i="32" s="1"/>
  <c r="Y7" i="32"/>
  <c r="Z7" i="32" s="1"/>
  <c r="Y70" i="32"/>
  <c r="Z70" i="32" s="1"/>
  <c r="Y66" i="32"/>
  <c r="Z66" i="32" s="1"/>
  <c r="Y62" i="32"/>
  <c r="Z62" i="32" s="1"/>
  <c r="Y58" i="32"/>
  <c r="Z58" i="32" s="1"/>
  <c r="Y54" i="32"/>
  <c r="Z54" i="32" s="1"/>
  <c r="Y50" i="32"/>
  <c r="Z50" i="32" s="1"/>
  <c r="Y46" i="32"/>
  <c r="Z46" i="32" s="1"/>
  <c r="Y42" i="32"/>
  <c r="Z42" i="32" s="1"/>
  <c r="Y38" i="32"/>
  <c r="Z38" i="32" s="1"/>
  <c r="Y34" i="32"/>
  <c r="Z34" i="32" s="1"/>
  <c r="Y30" i="32"/>
  <c r="Z30" i="32" s="1"/>
  <c r="Y26" i="32"/>
  <c r="Z26" i="32" s="1"/>
  <c r="Y22" i="32"/>
  <c r="Z22" i="32" s="1"/>
  <c r="Y18" i="32"/>
  <c r="Z18" i="32" s="1"/>
  <c r="Y14" i="32"/>
  <c r="Z14" i="32" s="1"/>
  <c r="Y10" i="32"/>
  <c r="Z10" i="32" s="1"/>
  <c r="Y6" i="32"/>
  <c r="Z6" i="32" s="1"/>
  <c r="Y64" i="31"/>
  <c r="Z64" i="31" s="1"/>
  <c r="Y60" i="31"/>
  <c r="Z60" i="31" s="1"/>
  <c r="Y52" i="31"/>
  <c r="Z52" i="31" s="1"/>
  <c r="Y44" i="31"/>
  <c r="Z44" i="31" s="1"/>
  <c r="Y36" i="31"/>
  <c r="Z36" i="31" s="1"/>
  <c r="Y32" i="31"/>
  <c r="Z32" i="31" s="1"/>
  <c r="Y24" i="31"/>
  <c r="Z24" i="31" s="1"/>
  <c r="Y16" i="31"/>
  <c r="Z16" i="31" s="1"/>
  <c r="Y8" i="31"/>
  <c r="Z8" i="31" s="1"/>
  <c r="Y67" i="31"/>
  <c r="Z67" i="31" s="1"/>
  <c r="Y63" i="31"/>
  <c r="Z63" i="31" s="1"/>
  <c r="Y59" i="31"/>
  <c r="Z59" i="31" s="1"/>
  <c r="Y55" i="31"/>
  <c r="Z55" i="31" s="1"/>
  <c r="Y51" i="31"/>
  <c r="Z51" i="31" s="1"/>
  <c r="Y47" i="31"/>
  <c r="Z47" i="31" s="1"/>
  <c r="Y43" i="31"/>
  <c r="Z43" i="31" s="1"/>
  <c r="Y39" i="31"/>
  <c r="Z39" i="31" s="1"/>
  <c r="Y35" i="31"/>
  <c r="Z35" i="31" s="1"/>
  <c r="Y31" i="31"/>
  <c r="Z31" i="31" s="1"/>
  <c r="Y27" i="31"/>
  <c r="Z27" i="31" s="1"/>
  <c r="Y23" i="31"/>
  <c r="Z23" i="31" s="1"/>
  <c r="Y19" i="31"/>
  <c r="Z19" i="31" s="1"/>
  <c r="Y15" i="31"/>
  <c r="Z15" i="31" s="1"/>
  <c r="Y11" i="31"/>
  <c r="Z11" i="31" s="1"/>
  <c r="Y7" i="31"/>
  <c r="Z7" i="31" s="1"/>
  <c r="Y68" i="31"/>
  <c r="Z68" i="31" s="1"/>
  <c r="Y56" i="31"/>
  <c r="Z56" i="31" s="1"/>
  <c r="Y48" i="31"/>
  <c r="Z48" i="31" s="1"/>
  <c r="Y40" i="31"/>
  <c r="Z40" i="31" s="1"/>
  <c r="Y28" i="31"/>
  <c r="Z28" i="31" s="1"/>
  <c r="Y20" i="31"/>
  <c r="Z20" i="31" s="1"/>
  <c r="Y12" i="31"/>
  <c r="Z12" i="31" s="1"/>
  <c r="Y70" i="31"/>
  <c r="Z70" i="31" s="1"/>
  <c r="Y66" i="31"/>
  <c r="Z66" i="31" s="1"/>
  <c r="Y62" i="31"/>
  <c r="Z62" i="31" s="1"/>
  <c r="Y58" i="31"/>
  <c r="Z58" i="31" s="1"/>
  <c r="Y54" i="31"/>
  <c r="Z54" i="31" s="1"/>
  <c r="Y50" i="31"/>
  <c r="Z50" i="31" s="1"/>
  <c r="Y46" i="31"/>
  <c r="Z46" i="31" s="1"/>
  <c r="Y42" i="31"/>
  <c r="Z42" i="31" s="1"/>
  <c r="Y38" i="31"/>
  <c r="Z38" i="31" s="1"/>
  <c r="Y34" i="31"/>
  <c r="Z34" i="31" s="1"/>
  <c r="Y30" i="31"/>
  <c r="Z30" i="31" s="1"/>
  <c r="Y26" i="31"/>
  <c r="Z26" i="31" s="1"/>
  <c r="Y22" i="31"/>
  <c r="Z22" i="31" s="1"/>
  <c r="Y18" i="31"/>
  <c r="Z18" i="31" s="1"/>
  <c r="Y14" i="31"/>
  <c r="Z14" i="31" s="1"/>
  <c r="Y10" i="31"/>
  <c r="Z10" i="31" s="1"/>
  <c r="Y6" i="31"/>
  <c r="Z6" i="31" s="1"/>
  <c r="AA18" i="29"/>
  <c r="AB18" i="29" s="1"/>
  <c r="AA14" i="29"/>
  <c r="AB14" i="29" s="1"/>
  <c r="AA10" i="29"/>
  <c r="AB10" i="29" s="1"/>
  <c r="AA6" i="29"/>
  <c r="AB6" i="29" s="1"/>
  <c r="AA17" i="29"/>
  <c r="AB17" i="29" s="1"/>
  <c r="AA13" i="29"/>
  <c r="AB13" i="29" s="1"/>
  <c r="AA9" i="29"/>
  <c r="AB9" i="29" s="1"/>
  <c r="AA20" i="29"/>
  <c r="AB20" i="29" s="1"/>
  <c r="AA16" i="29"/>
  <c r="AB16" i="29" s="1"/>
  <c r="AA12" i="29"/>
  <c r="AB12" i="29" s="1"/>
  <c r="AA8" i="29"/>
  <c r="AB8" i="29" s="1"/>
  <c r="N5" i="32"/>
  <c r="L5" i="32"/>
  <c r="I5" i="32"/>
  <c r="F5" i="32"/>
  <c r="N5" i="31"/>
  <c r="L5" i="31"/>
  <c r="I5" i="31"/>
  <c r="F5" i="31"/>
  <c r="P5" i="30"/>
  <c r="L5" i="30"/>
  <c r="I5" i="30"/>
  <c r="F5" i="30"/>
  <c r="O5" i="29"/>
  <c r="L5" i="29"/>
  <c r="J5" i="29"/>
  <c r="G5" i="29"/>
  <c r="N5" i="28"/>
  <c r="L5" i="28"/>
  <c r="I5" i="28"/>
  <c r="F5" i="28"/>
  <c r="AM62" i="27"/>
  <c r="N62" i="27"/>
  <c r="BQ62" i="27" s="1"/>
  <c r="BR62" i="27" s="1"/>
  <c r="AM56" i="27"/>
  <c r="N56" i="27"/>
  <c r="BQ56" i="27" s="1"/>
  <c r="BR56" i="27" s="1"/>
  <c r="AM50" i="27"/>
  <c r="N50" i="27"/>
  <c r="BQ50" i="27" s="1"/>
  <c r="BR50" i="27" s="1"/>
  <c r="AM43" i="27"/>
  <c r="N43" i="27"/>
  <c r="BQ43" i="27" s="1"/>
  <c r="BR43" i="27" s="1"/>
  <c r="AM38" i="27"/>
  <c r="N38" i="27"/>
  <c r="BQ38" i="27" s="1"/>
  <c r="BR38" i="27" s="1"/>
  <c r="AM34" i="27"/>
  <c r="N34" i="27"/>
  <c r="BQ34" i="27" s="1"/>
  <c r="BR34" i="27" s="1"/>
  <c r="AM28" i="27"/>
  <c r="N28" i="27"/>
  <c r="BQ28" i="27" s="1"/>
  <c r="BR28" i="27" s="1"/>
  <c r="AM23" i="27"/>
  <c r="N23" i="27"/>
  <c r="BQ23" i="27" s="1"/>
  <c r="BR23" i="27" s="1"/>
  <c r="AM19" i="27"/>
  <c r="N19" i="27"/>
  <c r="BQ19" i="27" s="1"/>
  <c r="BR19" i="27" s="1"/>
  <c r="AM13" i="27"/>
  <c r="AD13" i="27"/>
  <c r="V13" i="27"/>
  <c r="N13" i="27"/>
  <c r="AM11" i="27"/>
  <c r="N11" i="27"/>
  <c r="BQ11" i="27" s="1"/>
  <c r="BR11" i="27" s="1"/>
  <c r="AM9" i="27"/>
  <c r="V9" i="27"/>
  <c r="N9" i="27"/>
  <c r="BQ9" i="27" s="1"/>
  <c r="BR9" i="27" s="1"/>
  <c r="AM7" i="27"/>
  <c r="AD7" i="27"/>
  <c r="V7" i="27"/>
  <c r="N7" i="27"/>
  <c r="AM6" i="27"/>
  <c r="AD6" i="27"/>
  <c r="V6" i="27"/>
  <c r="N6" i="27"/>
  <c r="AM5" i="27"/>
  <c r="AD5" i="27"/>
  <c r="V5" i="27"/>
  <c r="N5" i="27"/>
  <c r="AL11" i="26"/>
  <c r="AD11" i="26"/>
  <c r="V11" i="26"/>
  <c r="M11" i="26"/>
  <c r="AL8" i="26"/>
  <c r="AD8" i="26"/>
  <c r="V8" i="26"/>
  <c r="M8" i="26"/>
  <c r="AL7" i="26"/>
  <c r="AD7" i="26"/>
  <c r="V7" i="26"/>
  <c r="M7" i="26"/>
  <c r="AL6" i="26"/>
  <c r="AD6" i="26"/>
  <c r="V6" i="26"/>
  <c r="M6" i="26"/>
  <c r="AL5" i="26"/>
  <c r="AD5" i="26"/>
  <c r="V5" i="26"/>
  <c r="M5" i="26"/>
  <c r="AL68" i="25"/>
  <c r="AC68" i="25"/>
  <c r="U68" i="25"/>
  <c r="M68" i="25"/>
  <c r="AL64" i="25"/>
  <c r="AC64" i="25"/>
  <c r="U64" i="25"/>
  <c r="M64" i="25"/>
  <c r="AL59" i="25"/>
  <c r="AC59" i="25"/>
  <c r="U59" i="25"/>
  <c r="M59" i="25"/>
  <c r="AL54" i="25"/>
  <c r="AC54" i="25"/>
  <c r="U54" i="25"/>
  <c r="M54" i="25"/>
  <c r="AL49" i="25"/>
  <c r="AC49" i="25"/>
  <c r="U49" i="25"/>
  <c r="M49" i="25"/>
  <c r="AL44" i="25"/>
  <c r="AC44" i="25"/>
  <c r="U44" i="25"/>
  <c r="M44" i="25"/>
  <c r="AL41" i="25"/>
  <c r="AC41" i="25"/>
  <c r="U41" i="25"/>
  <c r="M41" i="25"/>
  <c r="AL37" i="25"/>
  <c r="AC37" i="25"/>
  <c r="U37" i="25"/>
  <c r="M37" i="25"/>
  <c r="AL35" i="25"/>
  <c r="AC35" i="25"/>
  <c r="U35" i="25"/>
  <c r="M35" i="25"/>
  <c r="AL31" i="25"/>
  <c r="AC31" i="25"/>
  <c r="U31" i="25"/>
  <c r="M31" i="25"/>
  <c r="AL28" i="25"/>
  <c r="AC28" i="25"/>
  <c r="U28" i="25"/>
  <c r="M28" i="25"/>
  <c r="AL23" i="25"/>
  <c r="AC23" i="25"/>
  <c r="U23" i="25"/>
  <c r="M23" i="25"/>
  <c r="AL22" i="25"/>
  <c r="AC22" i="25"/>
  <c r="U22" i="25"/>
  <c r="M22" i="25"/>
  <c r="AL17" i="25"/>
  <c r="AC17" i="25"/>
  <c r="U17" i="25"/>
  <c r="M17" i="25"/>
  <c r="AL13" i="25"/>
  <c r="AC13" i="25"/>
  <c r="U13" i="25"/>
  <c r="M13" i="25"/>
  <c r="AL9" i="25"/>
  <c r="AC9" i="25"/>
  <c r="U9" i="25"/>
  <c r="M9" i="25"/>
  <c r="AL7" i="25"/>
  <c r="AC7" i="25"/>
  <c r="U7" i="25"/>
  <c r="M7" i="25"/>
  <c r="AL6" i="25"/>
  <c r="AC6" i="25"/>
  <c r="U6" i="25"/>
  <c r="M6" i="25"/>
  <c r="AL5" i="25"/>
  <c r="AC5" i="25"/>
  <c r="U5" i="25"/>
  <c r="M5" i="25"/>
  <c r="BM5" i="25" s="1"/>
  <c r="AM61" i="24"/>
  <c r="AE61" i="24"/>
  <c r="W61" i="24"/>
  <c r="O61" i="24"/>
  <c r="AM55" i="24"/>
  <c r="AE55" i="24"/>
  <c r="W55" i="24"/>
  <c r="AM52" i="24"/>
  <c r="AE52" i="24"/>
  <c r="W52" i="24"/>
  <c r="O52" i="24"/>
  <c r="AM45" i="24"/>
  <c r="AE45" i="24"/>
  <c r="W45" i="24"/>
  <c r="AM42" i="24"/>
  <c r="AE42" i="24"/>
  <c r="W42" i="24"/>
  <c r="O42" i="24"/>
  <c r="AM38" i="24"/>
  <c r="AE38" i="24"/>
  <c r="W38" i="24"/>
  <c r="AM35" i="24"/>
  <c r="AE35" i="24"/>
  <c r="W35" i="24"/>
  <c r="O35" i="24"/>
  <c r="AM30" i="24"/>
  <c r="AE30" i="24"/>
  <c r="W30" i="24"/>
  <c r="O30" i="24"/>
  <c r="AM26" i="24"/>
  <c r="AE26" i="24"/>
  <c r="W26" i="24"/>
  <c r="BO26" i="24" s="1"/>
  <c r="AM20" i="24"/>
  <c r="AE20" i="24"/>
  <c r="W20" i="24"/>
  <c r="O20" i="24"/>
  <c r="AM15" i="24"/>
  <c r="AE15" i="24"/>
  <c r="W15" i="24"/>
  <c r="O15" i="24"/>
  <c r="AM11" i="24"/>
  <c r="AE11" i="24"/>
  <c r="W11" i="24"/>
  <c r="O11" i="24"/>
  <c r="AM9" i="24"/>
  <c r="AE9" i="24"/>
  <c r="W9" i="24"/>
  <c r="O9" i="24"/>
  <c r="AM7" i="24"/>
  <c r="AE7" i="24"/>
  <c r="W7" i="24"/>
  <c r="O7" i="24"/>
  <c r="AM6" i="24"/>
  <c r="AE6" i="24"/>
  <c r="W6" i="24"/>
  <c r="O6" i="24"/>
  <c r="AM5" i="24"/>
  <c r="AE5" i="24"/>
  <c r="W5" i="24"/>
  <c r="O5" i="24"/>
  <c r="AO11" i="23"/>
  <c r="AO7" i="23"/>
  <c r="AO6" i="23"/>
  <c r="AD6" i="23"/>
  <c r="V6" i="23"/>
  <c r="M6" i="23"/>
  <c r="AD5" i="23"/>
  <c r="V5" i="23"/>
  <c r="M5" i="23"/>
  <c r="Y5" i="31" l="1"/>
  <c r="X5" i="28"/>
  <c r="BO30" i="24"/>
  <c r="BO35" i="24"/>
  <c r="BO38" i="24"/>
  <c r="BQ6" i="27"/>
  <c r="BR6" i="27" s="1"/>
  <c r="BQ7" i="27"/>
  <c r="BR7" i="27" s="1"/>
  <c r="BQ13" i="27"/>
  <c r="BR13" i="27" s="1"/>
  <c r="BQ6" i="26"/>
  <c r="BR6" i="26" s="1"/>
  <c r="BQ8" i="26"/>
  <c r="BR8" i="26" s="1"/>
  <c r="BQ7" i="26"/>
  <c r="BR7" i="26" s="1"/>
  <c r="BQ11" i="26"/>
  <c r="BR11" i="26" s="1"/>
  <c r="BM7" i="25"/>
  <c r="BM13" i="25"/>
  <c r="BM22" i="25"/>
  <c r="BM28" i="25"/>
  <c r="BM35" i="25"/>
  <c r="BM41" i="25"/>
  <c r="BM49" i="25"/>
  <c r="BM59" i="25"/>
  <c r="BM68" i="25"/>
  <c r="BM6" i="25"/>
  <c r="BM9" i="25"/>
  <c r="BM17" i="25"/>
  <c r="BM23" i="25"/>
  <c r="BM31" i="25"/>
  <c r="BM37" i="25"/>
  <c r="BM44" i="25"/>
  <c r="BM54" i="25"/>
  <c r="BM64" i="25"/>
  <c r="BO6" i="24"/>
  <c r="BO9" i="24"/>
  <c r="BO15" i="24"/>
  <c r="BO20" i="24"/>
  <c r="BO61" i="24"/>
  <c r="BO52" i="24"/>
  <c r="BO55" i="24"/>
  <c r="BO7" i="24"/>
  <c r="BO11" i="24"/>
  <c r="BO42" i="24"/>
  <c r="BO45" i="24"/>
  <c r="BP11" i="23"/>
  <c r="BQ11" i="23" s="1"/>
  <c r="BP6" i="23"/>
  <c r="BQ6" i="23" s="1"/>
  <c r="BP7" i="23"/>
  <c r="BQ7" i="23" s="1"/>
  <c r="BQ5" i="27"/>
  <c r="AA5" i="29"/>
  <c r="BO5" i="24"/>
  <c r="BP5" i="23"/>
  <c r="AR6" i="12"/>
  <c r="AR7" i="12"/>
  <c r="AR8" i="12"/>
  <c r="AR9" i="12"/>
  <c r="AR10" i="12"/>
  <c r="AR11" i="12"/>
  <c r="AR12" i="12"/>
  <c r="AR13" i="12"/>
  <c r="AR14" i="12"/>
  <c r="AR15" i="12"/>
  <c r="AR16" i="12"/>
  <c r="AR17" i="12"/>
  <c r="AR18" i="12"/>
  <c r="AR19" i="12"/>
  <c r="AR20" i="12"/>
  <c r="AR21" i="12"/>
  <c r="AR22" i="12"/>
  <c r="AR23" i="12"/>
  <c r="AR24" i="12"/>
  <c r="AR25" i="12"/>
  <c r="AR26" i="12"/>
  <c r="AR27" i="12"/>
  <c r="AR28" i="12"/>
  <c r="AR29" i="12"/>
  <c r="AR30" i="12"/>
  <c r="AR31" i="12"/>
  <c r="AR32" i="12"/>
  <c r="AR33" i="12"/>
  <c r="AR34" i="12"/>
  <c r="AR35" i="12"/>
  <c r="AR36" i="12"/>
  <c r="AR37" i="12"/>
  <c r="AR38" i="12"/>
  <c r="AR39" i="12"/>
  <c r="AR40" i="12"/>
  <c r="AR41" i="12"/>
  <c r="AR42" i="12"/>
  <c r="AR43" i="12"/>
  <c r="AR44" i="12"/>
  <c r="AR45" i="12"/>
  <c r="AR46" i="12"/>
  <c r="AR47" i="12"/>
  <c r="AR48" i="12"/>
  <c r="AR49" i="12"/>
  <c r="AR50" i="12"/>
  <c r="AR51" i="12"/>
  <c r="AR52" i="12"/>
  <c r="AR53" i="12"/>
  <c r="AR54" i="12"/>
  <c r="AR55" i="12"/>
  <c r="AR56" i="12"/>
  <c r="AR57" i="12"/>
  <c r="AR58" i="12"/>
  <c r="AR59" i="12"/>
  <c r="AR60" i="12"/>
  <c r="AR61" i="12"/>
  <c r="AR62" i="12"/>
  <c r="AR63" i="12"/>
  <c r="AR64" i="12"/>
  <c r="AR65" i="12"/>
  <c r="AR66" i="12"/>
  <c r="AR67" i="12"/>
  <c r="AR68" i="12"/>
  <c r="AR69" i="12"/>
  <c r="AR70" i="12"/>
  <c r="BD6" i="12" l="1"/>
  <c r="BD7" i="12"/>
  <c r="BD8" i="12"/>
  <c r="BD9" i="12"/>
  <c r="BD10" i="12"/>
  <c r="BD11" i="12"/>
  <c r="BD12" i="12"/>
  <c r="BD13" i="12"/>
  <c r="BD14" i="12"/>
  <c r="BD15" i="12"/>
  <c r="BD16" i="12"/>
  <c r="BD17" i="12"/>
  <c r="BD18" i="12"/>
  <c r="BD19" i="12"/>
  <c r="BD20" i="12"/>
  <c r="BD21" i="12"/>
  <c r="BD22" i="12"/>
  <c r="BD23" i="12"/>
  <c r="BD24" i="12"/>
  <c r="BD25" i="12"/>
  <c r="BD26" i="12"/>
  <c r="BD27" i="12"/>
  <c r="BD28" i="12"/>
  <c r="BD29" i="12"/>
  <c r="BD30" i="12"/>
  <c r="BD31" i="12"/>
  <c r="BD32" i="12"/>
  <c r="BD33" i="12"/>
  <c r="BD34" i="12"/>
  <c r="BD35" i="12"/>
  <c r="BD36" i="12"/>
  <c r="BD37" i="12"/>
  <c r="BD38" i="12"/>
  <c r="BD39" i="12"/>
  <c r="BD40" i="12"/>
  <c r="BD41" i="12"/>
  <c r="BD42" i="12"/>
  <c r="BD43" i="12"/>
  <c r="BD44" i="12"/>
  <c r="BD45" i="12"/>
  <c r="BD46" i="12"/>
  <c r="BD47" i="12"/>
  <c r="BD48" i="12"/>
  <c r="BD49" i="12"/>
  <c r="BD50" i="12"/>
  <c r="BD51" i="12"/>
  <c r="BD52" i="12"/>
  <c r="BD53" i="12"/>
  <c r="BD54" i="12"/>
  <c r="BD55" i="12"/>
  <c r="BD56" i="12"/>
  <c r="BD57" i="12"/>
  <c r="BD58" i="12"/>
  <c r="BD59" i="12"/>
  <c r="BD60" i="12"/>
  <c r="BD61" i="12"/>
  <c r="BD62" i="12"/>
  <c r="BD63" i="12"/>
  <c r="BD64" i="12"/>
  <c r="BD65" i="12"/>
  <c r="BD66" i="12"/>
  <c r="BD67" i="12"/>
  <c r="BD68" i="12"/>
  <c r="BD69" i="12"/>
  <c r="BD70" i="12"/>
  <c r="BD5" i="12"/>
  <c r="AF6" i="12" l="1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AF51" i="12"/>
  <c r="AF52" i="12"/>
  <c r="AF53" i="12"/>
  <c r="AF54" i="12"/>
  <c r="AF55" i="12"/>
  <c r="AF56" i="12"/>
  <c r="AF57" i="12"/>
  <c r="AF58" i="12"/>
  <c r="AF59" i="12"/>
  <c r="AF60" i="12"/>
  <c r="AF61" i="12"/>
  <c r="AF62" i="12"/>
  <c r="AF63" i="12"/>
  <c r="AF64" i="12"/>
  <c r="AF65" i="12"/>
  <c r="AF66" i="12"/>
  <c r="AF67" i="12"/>
  <c r="AF68" i="12"/>
  <c r="AF69" i="12"/>
  <c r="AF70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5" i="12"/>
  <c r="AF5" i="12"/>
  <c r="AR5" i="12"/>
</calcChain>
</file>

<file path=xl/sharedStrings.xml><?xml version="1.0" encoding="utf-8"?>
<sst xmlns="http://schemas.openxmlformats.org/spreadsheetml/2006/main" count="2278" uniqueCount="174">
  <si>
    <t>NO CLASS</t>
  </si>
  <si>
    <t>Tue</t>
  </si>
  <si>
    <t>Wed</t>
  </si>
  <si>
    <t>Thu</t>
  </si>
  <si>
    <t>Fri</t>
  </si>
  <si>
    <t>Sat</t>
  </si>
  <si>
    <t>Mon</t>
  </si>
  <si>
    <t>AUGUST</t>
  </si>
  <si>
    <t>TUE</t>
  </si>
  <si>
    <t>WED</t>
  </si>
  <si>
    <t>THU</t>
  </si>
  <si>
    <t>FRI</t>
  </si>
  <si>
    <t>SAT</t>
  </si>
  <si>
    <t>MON</t>
  </si>
  <si>
    <t>SEPTEMBER</t>
  </si>
  <si>
    <t>OCTOBER</t>
  </si>
  <si>
    <t>I</t>
  </si>
  <si>
    <t>II</t>
  </si>
  <si>
    <t>III</t>
  </si>
  <si>
    <t>IV</t>
  </si>
  <si>
    <t>SUBJECT</t>
  </si>
  <si>
    <t>MONTH</t>
  </si>
  <si>
    <t>DATES</t>
  </si>
  <si>
    <t>DAA</t>
  </si>
  <si>
    <t>IDS</t>
  </si>
  <si>
    <t>CN</t>
  </si>
  <si>
    <t>AI</t>
  </si>
  <si>
    <t>IRS</t>
  </si>
  <si>
    <t>RP LAB</t>
  </si>
  <si>
    <t>CN LAB</t>
  </si>
  <si>
    <t>AECS</t>
  </si>
  <si>
    <t>ETL</t>
  </si>
  <si>
    <t>IPR</t>
  </si>
  <si>
    <t>IEKTP</t>
  </si>
  <si>
    <t>FORTNIGHT</t>
  </si>
  <si>
    <t>JULY</t>
  </si>
  <si>
    <t>23AG1A6701</t>
  </si>
  <si>
    <t>AEDULLA SATHVIKA</t>
  </si>
  <si>
    <t>23AG1A6702</t>
  </si>
  <si>
    <t>AKULA SHASHIDHAR</t>
  </si>
  <si>
    <t>23AG1A6703</t>
  </si>
  <si>
    <t>AMADAGANI VARUN</t>
  </si>
  <si>
    <t>23AG1A6704</t>
  </si>
  <si>
    <t>AMGOTHU PAVANI</t>
  </si>
  <si>
    <t>23AG1A6705</t>
  </si>
  <si>
    <t>ARCHANA DEVI</t>
  </si>
  <si>
    <t>23AG1A6706</t>
  </si>
  <si>
    <t>ARKAPALLY ANIL KUMAR</t>
  </si>
  <si>
    <t>23AG1A6707</t>
  </si>
  <si>
    <t>ARRAMSETTY VIPINCHANDRA</t>
  </si>
  <si>
    <t>23AG1A6708</t>
  </si>
  <si>
    <t>BANDARI UDAYA SRI</t>
  </si>
  <si>
    <t>23AG1A6709</t>
  </si>
  <si>
    <t>BASKARI INDRAJ</t>
  </si>
  <si>
    <t>23AG1A6710</t>
  </si>
  <si>
    <t>BILLAPATI SRISAILAM</t>
  </si>
  <si>
    <t>23AG1A6711</t>
  </si>
  <si>
    <t>BODA SHIVA SHANKAR</t>
  </si>
  <si>
    <t>23AG1A6712</t>
  </si>
  <si>
    <t>BOMMAGONI DEEPIKA</t>
  </si>
  <si>
    <t>23AG1A6713</t>
  </si>
  <si>
    <t>DANTHURI KAVYA</t>
  </si>
  <si>
    <t>23AG1A6714</t>
  </si>
  <si>
    <t>DEVARAKONDA NAVEEN</t>
  </si>
  <si>
    <t>23AG1A6715</t>
  </si>
  <si>
    <t>DHARAVATH SRAVAN NAIK</t>
  </si>
  <si>
    <t>23AG1A6716</t>
  </si>
  <si>
    <t>ENJAMURI DINESH</t>
  </si>
  <si>
    <t>23AG1A6717</t>
  </si>
  <si>
    <t>GADAGANI BHAVYASRI</t>
  </si>
  <si>
    <t>23AG1A6719</t>
  </si>
  <si>
    <t>GANGADHARI AKSHAYA</t>
  </si>
  <si>
    <t>23AG1A6720</t>
  </si>
  <si>
    <t>GANGAVARAPU SAMATHA</t>
  </si>
  <si>
    <t>23AG1A6721</t>
  </si>
  <si>
    <t>GOSKE KEERTHI</t>
  </si>
  <si>
    <t>23AG1A6722</t>
  </si>
  <si>
    <t>GUDIPATI KEERTHI VARDHAN REDDY</t>
  </si>
  <si>
    <t>23AG1A6723</t>
  </si>
  <si>
    <t>GUMMAGHATTA YAJAMANAM SHASHANK</t>
  </si>
  <si>
    <t>23AG1A6724</t>
  </si>
  <si>
    <t>IRUGU GIRISH GOWTHAM</t>
  </si>
  <si>
    <t>23AG1A6725</t>
  </si>
  <si>
    <t>JAMALPUR SANDEEP</t>
  </si>
  <si>
    <t>23AG1A6727</t>
  </si>
  <si>
    <t>KALAVALA SAI SIDDHARTH</t>
  </si>
  <si>
    <t>23AG1A6728</t>
  </si>
  <si>
    <t>KANDADI MANSI REDDY</t>
  </si>
  <si>
    <t>23AG1A6729</t>
  </si>
  <si>
    <t>KATRAVATH NAVEEN</t>
  </si>
  <si>
    <t>23AG1A6731</t>
  </si>
  <si>
    <t>KETHIREDDY LAHARI</t>
  </si>
  <si>
    <t>23AG1A6732</t>
  </si>
  <si>
    <t>KOKKULA MANIK RAJ</t>
  </si>
  <si>
    <t>23AG1A6733</t>
  </si>
  <si>
    <t>KONATHAM KARTHIK REDDY</t>
  </si>
  <si>
    <t>23AG1A6734</t>
  </si>
  <si>
    <t>KYATHAM PRASANNA</t>
  </si>
  <si>
    <t>23AG1A6736</t>
  </si>
  <si>
    <t>MAREPALLY SANJAY KUMAR</t>
  </si>
  <si>
    <t>23AG1A6737</t>
  </si>
  <si>
    <t>MERAM NIKHIL YADAV</t>
  </si>
  <si>
    <t>23AG1A6738</t>
  </si>
  <si>
    <t>MOHAMMAD ANWAR</t>
  </si>
  <si>
    <t>23AG1A6739</t>
  </si>
  <si>
    <t>MOHAMMED AHMED ALI</t>
  </si>
  <si>
    <t>23AG1A6740</t>
  </si>
  <si>
    <t>MOHANDAS ARCHITHA</t>
  </si>
  <si>
    <t>23AG1A6741</t>
  </si>
  <si>
    <t>NAGA TEJASWINI YELLAVULA</t>
  </si>
  <si>
    <t>23AG1A6742</t>
  </si>
  <si>
    <t>NELLUTLA ANJALI</t>
  </si>
  <si>
    <t>23AG1A6743</t>
  </si>
  <si>
    <t>ONTEDDU RAJESH</t>
  </si>
  <si>
    <t>23AG1A6744</t>
  </si>
  <si>
    <t>PABBATHI SIVA CHARISHMA</t>
  </si>
  <si>
    <t>23AG1A6745</t>
  </si>
  <si>
    <t>PENUGONDA KEERTHI SREE</t>
  </si>
  <si>
    <t>23AG1A6746</t>
  </si>
  <si>
    <t>PITTALA ARAVIND</t>
  </si>
  <si>
    <t>23AG1A6747</t>
  </si>
  <si>
    <t>POCHANA SRIYA REDDY</t>
  </si>
  <si>
    <t>23AG1A6748</t>
  </si>
  <si>
    <t>PRATIK BEHERA</t>
  </si>
  <si>
    <t>23AG1A6749</t>
  </si>
  <si>
    <t>RAMPALLY VIGNESH GOUD</t>
  </si>
  <si>
    <t>23AG1A6750</t>
  </si>
  <si>
    <t>RANGA GANESH</t>
  </si>
  <si>
    <t>23AG1A6751</t>
  </si>
  <si>
    <t>REBBAS ANIL KUMAR</t>
  </si>
  <si>
    <t>23AG1A6752</t>
  </si>
  <si>
    <t>RONDLA SINDHUJA</t>
  </si>
  <si>
    <t>23AG1A6753</t>
  </si>
  <si>
    <t>SEEMRAN KUMARI</t>
  </si>
  <si>
    <t>23AG1A6754</t>
  </si>
  <si>
    <t>SHAIK TAJ UNNISSA</t>
  </si>
  <si>
    <t>23AG1A6755</t>
  </si>
  <si>
    <t>SINGANI PEDDOLLA BALAKRISHNA REDDY</t>
  </si>
  <si>
    <t>23AG1A6756</t>
  </si>
  <si>
    <t>THUNGE SHYAM PRASAD</t>
  </si>
  <si>
    <t>23AG1A6757</t>
  </si>
  <si>
    <t>UDAYAGIRI SIVA KRISHNA</t>
  </si>
  <si>
    <t>23AG1A6758</t>
  </si>
  <si>
    <t>VADLA SNEHA</t>
  </si>
  <si>
    <t>23AG1A6759</t>
  </si>
  <si>
    <t>VALLAPUNENI POUSHYA</t>
  </si>
  <si>
    <t>23AG1A6760</t>
  </si>
  <si>
    <t>VEERLA ALFRED CHARIS BONHOFFER</t>
  </si>
  <si>
    <t>23AG1A6761</t>
  </si>
  <si>
    <t>VENKAT ADITHYA PANKA</t>
  </si>
  <si>
    <t>23AG1A6762</t>
  </si>
  <si>
    <t>VUCHA SHASHI VARDHAN</t>
  </si>
  <si>
    <t>23AG1A6763</t>
  </si>
  <si>
    <t>YELAGANDULA RAGHAVENDRA</t>
  </si>
  <si>
    <t>23AG1A6764</t>
  </si>
  <si>
    <t>YERRAGOLLA SWATHIVIKA</t>
  </si>
  <si>
    <t>24AG5A6701</t>
  </si>
  <si>
    <t>ANNADANAM HARSHAVARDHAN</t>
  </si>
  <si>
    <t>24AG5A6702</t>
  </si>
  <si>
    <t>ARKALA SANJAY</t>
  </si>
  <si>
    <t>24AG5A6703</t>
  </si>
  <si>
    <t>ARUKALA DEEPIKA</t>
  </si>
  <si>
    <t>24AG5A6704</t>
  </si>
  <si>
    <t>BADIKALA TEJESHWARI</t>
  </si>
  <si>
    <t>24AG5A6705</t>
  </si>
  <si>
    <t>BUSA KARTHIK YADAV</t>
  </si>
  <si>
    <t>SEP</t>
  </si>
  <si>
    <t>Date:</t>
  </si>
  <si>
    <t>V</t>
  </si>
  <si>
    <t>VI</t>
  </si>
  <si>
    <t>VII</t>
  </si>
  <si>
    <t>OCT</t>
  </si>
  <si>
    <t>OCTO</t>
  </si>
  <si>
    <t>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</si>
</sst>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0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0" xfId="0" applyFont="1"/>
    <xf numFmtId="2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4" fillId="3" borderId="8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4" fillId="3" borderId="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2" fontId="16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70"/>
  <sheetViews>
    <sheetView topLeftCell="BM1" zoomScale="70" zoomScaleNormal="70" workbookViewId="0">
      <selection activeCell="CC4" sqref="CC4"/>
    </sheetView>
  </sheetViews>
  <sheetFormatPr defaultColWidth="9.109375" defaultRowHeight="13.8" x14ac:dyDescent="0.25"/>
  <cols>
    <col min="1" max="1" width="6.109375" style="1" customWidth="1"/>
    <col min="2" max="2" width="14.109375" style="1" customWidth="1"/>
    <col min="3" max="3" width="34.44140625" style="15" bestFit="1" customWidth="1"/>
    <col min="4" max="10" width="9.109375" style="1" customWidth="1"/>
    <col min="11" max="18" width="9.109375" style="15" customWidth="1"/>
    <col min="19" max="40" width="9.109375" style="1" customWidth="1"/>
    <col min="41" max="43" width="9.109375" style="15" customWidth="1"/>
    <col min="44" max="44" width="9.109375" style="1"/>
    <col min="45" max="55" width="9.109375" style="1" customWidth="1"/>
    <col min="56" max="56" width="9.109375" style="1"/>
    <col min="57" max="67" width="9.109375" style="15" customWidth="1"/>
    <col min="68" max="68" width="9.109375" style="15"/>
    <col min="69" max="77" width="9.109375" style="15" customWidth="1"/>
    <col min="78" max="78" width="9.109375" style="15"/>
    <col min="79" max="90" width="9.109375" style="15" customWidth="1"/>
    <col min="91" max="91" width="9.109375" style="15"/>
    <col min="92" max="16384" width="9.109375" style="1"/>
  </cols>
  <sheetData>
    <row r="1" spans="1:91" ht="15.75" thickBot="1" x14ac:dyDescent="0.3"/>
    <row r="2" spans="1:91" ht="15.75" customHeight="1" thickBot="1" x14ac:dyDescent="0.3">
      <c r="D2" s="64" t="s">
        <v>35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0" t="s">
        <v>16</v>
      </c>
      <c r="T2" s="62" t="s">
        <v>7</v>
      </c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0" t="s">
        <v>17</v>
      </c>
      <c r="AG2" s="64" t="s">
        <v>7</v>
      </c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0" t="s">
        <v>18</v>
      </c>
      <c r="AS2" s="56" t="s">
        <v>14</v>
      </c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2" t="s">
        <v>19</v>
      </c>
      <c r="BE2" s="53" t="s">
        <v>14</v>
      </c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4" t="s">
        <v>168</v>
      </c>
      <c r="BQ2" s="53"/>
      <c r="BR2" s="53"/>
      <c r="BS2" s="53"/>
      <c r="BT2" s="53"/>
      <c r="BU2" s="53"/>
      <c r="BV2" s="53"/>
      <c r="BW2" s="53"/>
      <c r="BX2" s="53"/>
      <c r="BY2" s="53"/>
      <c r="BZ2" s="52" t="s">
        <v>169</v>
      </c>
      <c r="CA2" s="56" t="s">
        <v>15</v>
      </c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2" t="s">
        <v>170</v>
      </c>
    </row>
    <row r="3" spans="1:91" x14ac:dyDescent="0.25">
      <c r="A3" s="58"/>
      <c r="B3" s="59"/>
      <c r="C3" s="19"/>
      <c r="D3" s="4" t="s">
        <v>13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8</v>
      </c>
      <c r="Q3" s="4" t="s">
        <v>9</v>
      </c>
      <c r="R3" s="4" t="s">
        <v>10</v>
      </c>
      <c r="S3" s="61"/>
      <c r="T3" s="4" t="s">
        <v>11</v>
      </c>
      <c r="U3" s="4" t="s">
        <v>12</v>
      </c>
      <c r="V3" s="4" t="s">
        <v>13</v>
      </c>
      <c r="W3" s="4" t="s">
        <v>8</v>
      </c>
      <c r="X3" s="4" t="s">
        <v>9</v>
      </c>
      <c r="Y3" s="4" t="s">
        <v>10</v>
      </c>
      <c r="Z3" s="4" t="s">
        <v>11</v>
      </c>
      <c r="AA3" s="4" t="s">
        <v>12</v>
      </c>
      <c r="AB3" s="4" t="s">
        <v>13</v>
      </c>
      <c r="AC3" s="4" t="s">
        <v>8</v>
      </c>
      <c r="AD3" s="4" t="s">
        <v>9</v>
      </c>
      <c r="AE3" s="4" t="s">
        <v>10</v>
      </c>
      <c r="AF3" s="61"/>
      <c r="AG3" s="4" t="s">
        <v>13</v>
      </c>
      <c r="AH3" s="4" t="s">
        <v>8</v>
      </c>
      <c r="AI3" s="4" t="s">
        <v>9</v>
      </c>
      <c r="AJ3" s="4" t="s">
        <v>10</v>
      </c>
      <c r="AK3" s="4" t="s">
        <v>11</v>
      </c>
      <c r="AL3" s="4" t="s">
        <v>12</v>
      </c>
      <c r="AM3" s="4" t="s">
        <v>13</v>
      </c>
      <c r="AN3" s="4" t="s">
        <v>8</v>
      </c>
      <c r="AO3" s="4" t="s">
        <v>10</v>
      </c>
      <c r="AP3" s="4" t="s">
        <v>11</v>
      </c>
      <c r="AQ3" s="4" t="s">
        <v>12</v>
      </c>
      <c r="AR3" s="61"/>
      <c r="AS3" s="13" t="s">
        <v>6</v>
      </c>
      <c r="AT3" s="13" t="s">
        <v>1</v>
      </c>
      <c r="AU3" s="18" t="s">
        <v>2</v>
      </c>
      <c r="AV3" s="18" t="s">
        <v>3</v>
      </c>
      <c r="AW3" s="18" t="s">
        <v>6</v>
      </c>
      <c r="AX3" s="18" t="s">
        <v>1</v>
      </c>
      <c r="AY3" s="18" t="s">
        <v>2</v>
      </c>
      <c r="AZ3" s="18" t="s">
        <v>3</v>
      </c>
      <c r="BA3" s="18" t="s">
        <v>4</v>
      </c>
      <c r="BB3" s="18" t="s">
        <v>5</v>
      </c>
      <c r="BC3" s="18" t="s">
        <v>6</v>
      </c>
      <c r="BD3" s="52"/>
      <c r="BE3" s="34" t="s">
        <v>1</v>
      </c>
      <c r="BF3" s="34" t="s">
        <v>2</v>
      </c>
      <c r="BG3" s="34" t="s">
        <v>3</v>
      </c>
      <c r="BH3" s="34" t="s">
        <v>4</v>
      </c>
      <c r="BI3" s="34" t="s">
        <v>5</v>
      </c>
      <c r="BJ3" s="34" t="s">
        <v>6</v>
      </c>
      <c r="BK3" s="34" t="s">
        <v>1</v>
      </c>
      <c r="BL3" s="34" t="s">
        <v>2</v>
      </c>
      <c r="BM3" s="34" t="s">
        <v>3</v>
      </c>
      <c r="BN3" s="34" t="s">
        <v>4</v>
      </c>
      <c r="BO3" s="34" t="s">
        <v>5</v>
      </c>
      <c r="BP3" s="55"/>
      <c r="BQ3" s="34" t="s">
        <v>6</v>
      </c>
      <c r="BR3" s="34" t="s">
        <v>1</v>
      </c>
      <c r="BS3" s="34" t="s">
        <v>2</v>
      </c>
      <c r="BT3" s="34" t="s">
        <v>3</v>
      </c>
      <c r="BU3" s="34" t="s">
        <v>4</v>
      </c>
      <c r="BV3" s="34" t="s">
        <v>5</v>
      </c>
      <c r="BW3" s="34" t="s">
        <v>6</v>
      </c>
      <c r="BX3" s="34" t="s">
        <v>1</v>
      </c>
      <c r="BY3" s="34" t="s">
        <v>2</v>
      </c>
      <c r="BZ3" s="52"/>
      <c r="CA3" s="34" t="s">
        <v>3</v>
      </c>
      <c r="CB3" s="34" t="s">
        <v>4</v>
      </c>
      <c r="CC3" s="34" t="s">
        <v>5</v>
      </c>
      <c r="CD3" s="34" t="s">
        <v>1</v>
      </c>
      <c r="CE3" s="34" t="s">
        <v>2</v>
      </c>
      <c r="CF3" s="34" t="s">
        <v>3</v>
      </c>
      <c r="CG3" s="34" t="s">
        <v>4</v>
      </c>
      <c r="CH3" s="34" t="s">
        <v>5</v>
      </c>
      <c r="CI3" s="34" t="s">
        <v>6</v>
      </c>
      <c r="CJ3" s="34" t="s">
        <v>1</v>
      </c>
      <c r="CK3" s="34" t="s">
        <v>2</v>
      </c>
      <c r="CL3" s="34" t="s">
        <v>4</v>
      </c>
      <c r="CM3" s="52"/>
    </row>
    <row r="4" spans="1:91" x14ac:dyDescent="0.25">
      <c r="A4" s="58"/>
      <c r="B4" s="59"/>
      <c r="C4" s="35" t="s">
        <v>167</v>
      </c>
      <c r="D4" s="6">
        <v>14</v>
      </c>
      <c r="E4" s="6">
        <v>15</v>
      </c>
      <c r="F4" s="6">
        <v>16</v>
      </c>
      <c r="G4" s="6">
        <v>17</v>
      </c>
      <c r="H4" s="6">
        <v>18</v>
      </c>
      <c r="I4" s="6">
        <v>19</v>
      </c>
      <c r="J4" s="6">
        <v>22</v>
      </c>
      <c r="K4" s="6">
        <v>23</v>
      </c>
      <c r="L4" s="6">
        <v>24</v>
      </c>
      <c r="M4" s="6">
        <v>25</v>
      </c>
      <c r="N4" s="6">
        <v>26</v>
      </c>
      <c r="O4" s="6">
        <v>28</v>
      </c>
      <c r="P4" s="6">
        <v>29</v>
      </c>
      <c r="Q4" s="6">
        <v>30</v>
      </c>
      <c r="R4" s="6">
        <v>31</v>
      </c>
      <c r="S4" s="6"/>
      <c r="T4" s="5">
        <v>1</v>
      </c>
      <c r="U4" s="5">
        <v>2</v>
      </c>
      <c r="V4" s="18">
        <v>4</v>
      </c>
      <c r="W4" s="18">
        <v>5</v>
      </c>
      <c r="X4" s="18">
        <v>6</v>
      </c>
      <c r="Y4" s="18">
        <v>7</v>
      </c>
      <c r="Z4" s="18">
        <v>8</v>
      </c>
      <c r="AA4" s="18">
        <v>9</v>
      </c>
      <c r="AB4" s="18">
        <v>11</v>
      </c>
      <c r="AC4" s="18">
        <v>12</v>
      </c>
      <c r="AD4" s="18">
        <v>13</v>
      </c>
      <c r="AE4" s="18">
        <v>14</v>
      </c>
      <c r="AF4" s="13"/>
      <c r="AG4" s="5">
        <v>18</v>
      </c>
      <c r="AH4" s="13">
        <v>19</v>
      </c>
      <c r="AI4" s="18">
        <v>20</v>
      </c>
      <c r="AJ4" s="18">
        <v>21</v>
      </c>
      <c r="AK4" s="18">
        <v>22</v>
      </c>
      <c r="AL4" s="18">
        <v>23</v>
      </c>
      <c r="AM4" s="18">
        <v>25</v>
      </c>
      <c r="AN4" s="18">
        <v>26</v>
      </c>
      <c r="AO4" s="18">
        <v>28</v>
      </c>
      <c r="AP4" s="18">
        <v>29</v>
      </c>
      <c r="AQ4" s="18">
        <v>30</v>
      </c>
      <c r="AR4" s="14"/>
      <c r="AS4" s="13">
        <v>1</v>
      </c>
      <c r="AT4" s="13">
        <v>2</v>
      </c>
      <c r="AU4" s="18">
        <v>3</v>
      </c>
      <c r="AV4" s="18">
        <v>4</v>
      </c>
      <c r="AW4" s="18">
        <v>8</v>
      </c>
      <c r="AX4" s="18">
        <v>9</v>
      </c>
      <c r="AY4" s="18">
        <v>10</v>
      </c>
      <c r="AZ4" s="18">
        <v>11</v>
      </c>
      <c r="BA4" s="18">
        <v>12</v>
      </c>
      <c r="BB4" s="18">
        <v>13</v>
      </c>
      <c r="BC4" s="18">
        <v>15</v>
      </c>
      <c r="BD4" s="7"/>
      <c r="BE4" s="34">
        <v>16</v>
      </c>
      <c r="BF4" s="34">
        <v>17</v>
      </c>
      <c r="BG4" s="34">
        <v>18</v>
      </c>
      <c r="BH4" s="34">
        <v>19</v>
      </c>
      <c r="BI4" s="34">
        <v>20</v>
      </c>
      <c r="BJ4" s="34">
        <v>22</v>
      </c>
      <c r="BK4" s="34">
        <v>23</v>
      </c>
      <c r="BL4" s="34">
        <v>24</v>
      </c>
      <c r="BM4" s="34">
        <v>25</v>
      </c>
      <c r="BN4" s="34">
        <v>26</v>
      </c>
      <c r="BO4" s="34">
        <v>27</v>
      </c>
      <c r="BP4" s="7"/>
      <c r="BQ4" s="34">
        <v>6</v>
      </c>
      <c r="BR4" s="34">
        <v>7</v>
      </c>
      <c r="BS4" s="34">
        <v>8</v>
      </c>
      <c r="BT4" s="34">
        <v>9</v>
      </c>
      <c r="BU4" s="34">
        <v>10</v>
      </c>
      <c r="BV4" s="34">
        <v>11</v>
      </c>
      <c r="BW4" s="34">
        <v>13</v>
      </c>
      <c r="BX4" s="34">
        <v>14</v>
      </c>
      <c r="BY4" s="34">
        <v>15</v>
      </c>
      <c r="BZ4" s="7"/>
      <c r="CA4" s="34">
        <v>16</v>
      </c>
      <c r="CB4" s="34">
        <v>17</v>
      </c>
      <c r="CC4" s="51">
        <v>18</v>
      </c>
      <c r="CD4" s="34">
        <v>21</v>
      </c>
      <c r="CE4" s="34">
        <v>22</v>
      </c>
      <c r="CF4" s="34">
        <v>23</v>
      </c>
      <c r="CG4" s="34">
        <v>24</v>
      </c>
      <c r="CH4" s="34">
        <v>25</v>
      </c>
      <c r="CI4" s="34">
        <v>27</v>
      </c>
      <c r="CJ4" s="34">
        <v>28</v>
      </c>
      <c r="CK4" s="34">
        <v>29</v>
      </c>
      <c r="CL4" s="34">
        <v>31</v>
      </c>
      <c r="CM4" s="7"/>
    </row>
    <row r="5" spans="1:91" s="26" customFormat="1" ht="21" customHeight="1" x14ac:dyDescent="0.25">
      <c r="A5" s="57" t="s">
        <v>0</v>
      </c>
      <c r="B5" s="57"/>
      <c r="C5" s="23"/>
      <c r="D5" s="24">
        <v>1</v>
      </c>
      <c r="E5" s="24">
        <v>1</v>
      </c>
      <c r="F5" s="24">
        <v>1</v>
      </c>
      <c r="G5" s="24">
        <v>1</v>
      </c>
      <c r="H5" s="25">
        <v>1</v>
      </c>
      <c r="I5" s="25">
        <v>1</v>
      </c>
      <c r="J5" s="25">
        <v>1</v>
      </c>
      <c r="K5" s="25">
        <v>1</v>
      </c>
      <c r="L5" s="25">
        <v>1</v>
      </c>
      <c r="M5" s="25">
        <v>1</v>
      </c>
      <c r="N5" s="25">
        <v>1</v>
      </c>
      <c r="O5" s="25">
        <v>1</v>
      </c>
      <c r="P5" s="25">
        <v>1</v>
      </c>
      <c r="Q5" s="25">
        <v>1</v>
      </c>
      <c r="R5" s="25">
        <v>1</v>
      </c>
      <c r="S5" s="25">
        <f t="shared" ref="S5:S36" si="0">SUM(D5:R5)</f>
        <v>15</v>
      </c>
      <c r="T5" s="25">
        <v>1</v>
      </c>
      <c r="U5" s="25">
        <v>1</v>
      </c>
      <c r="V5" s="25">
        <v>1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B5" s="25">
        <v>1</v>
      </c>
      <c r="AC5" s="25">
        <v>1</v>
      </c>
      <c r="AD5" s="25">
        <v>1</v>
      </c>
      <c r="AE5" s="25">
        <v>1</v>
      </c>
      <c r="AF5" s="25">
        <f t="shared" ref="AF5:AF36" si="1">SUM(T5:AE5)</f>
        <v>12</v>
      </c>
      <c r="AG5" s="25">
        <v>1</v>
      </c>
      <c r="AH5" s="25">
        <v>1</v>
      </c>
      <c r="AI5" s="25">
        <v>1</v>
      </c>
      <c r="AJ5" s="25">
        <v>1</v>
      </c>
      <c r="AK5" s="25">
        <v>1</v>
      </c>
      <c r="AL5" s="25">
        <v>1</v>
      </c>
      <c r="AM5" s="25">
        <v>1</v>
      </c>
      <c r="AN5" s="25">
        <v>1</v>
      </c>
      <c r="AO5" s="25">
        <v>1</v>
      </c>
      <c r="AP5" s="25">
        <v>1</v>
      </c>
      <c r="AQ5" s="25">
        <v>1</v>
      </c>
      <c r="AR5" s="25">
        <f>SUM(AG5:AQ5)</f>
        <v>11</v>
      </c>
      <c r="AS5" s="25">
        <v>1</v>
      </c>
      <c r="AT5" s="24">
        <v>1</v>
      </c>
      <c r="AU5" s="25">
        <v>1</v>
      </c>
      <c r="AV5" s="24">
        <v>1</v>
      </c>
      <c r="AW5" s="24">
        <v>1</v>
      </c>
      <c r="AX5" s="25">
        <v>1</v>
      </c>
      <c r="AY5" s="24">
        <v>1</v>
      </c>
      <c r="AZ5" s="25">
        <v>1</v>
      </c>
      <c r="BA5" s="24">
        <v>1</v>
      </c>
      <c r="BB5" s="25">
        <v>1</v>
      </c>
      <c r="BC5" s="25">
        <v>1</v>
      </c>
      <c r="BD5" s="23">
        <f t="shared" ref="BD5:BD36" si="2">SUM(AS5:BC5)</f>
        <v>11</v>
      </c>
      <c r="BE5" s="24">
        <v>1</v>
      </c>
      <c r="BF5" s="25">
        <v>1</v>
      </c>
      <c r="BG5" s="24">
        <v>1</v>
      </c>
      <c r="BH5" s="24">
        <v>1</v>
      </c>
      <c r="BI5" s="25">
        <v>1</v>
      </c>
      <c r="BJ5" s="24">
        <v>1</v>
      </c>
      <c r="BK5" s="25">
        <v>1</v>
      </c>
      <c r="BL5" s="24">
        <v>1</v>
      </c>
      <c r="BM5" s="25">
        <v>1</v>
      </c>
      <c r="BN5" s="24">
        <v>1</v>
      </c>
      <c r="BO5" s="25">
        <v>1</v>
      </c>
      <c r="BP5" s="33">
        <f t="shared" ref="BP5:BP36" si="3">SUM(BE5:BO5)</f>
        <v>11</v>
      </c>
      <c r="BQ5" s="24">
        <v>1</v>
      </c>
      <c r="BR5" s="24">
        <v>1</v>
      </c>
      <c r="BS5" s="25">
        <v>1</v>
      </c>
      <c r="BT5" s="24">
        <v>1</v>
      </c>
      <c r="BU5" s="25">
        <v>1</v>
      </c>
      <c r="BV5" s="24">
        <v>1</v>
      </c>
      <c r="BW5" s="25">
        <v>1</v>
      </c>
      <c r="BX5" s="25">
        <v>1</v>
      </c>
      <c r="BY5" s="24">
        <v>1</v>
      </c>
      <c r="BZ5" s="33">
        <f t="shared" ref="BZ5:BZ36" si="4">SUM(BQ5:BY5)</f>
        <v>9</v>
      </c>
      <c r="CA5" s="25">
        <v>1</v>
      </c>
      <c r="CB5" s="25">
        <v>1</v>
      </c>
      <c r="CC5" s="24">
        <v>1</v>
      </c>
      <c r="CD5" s="24">
        <v>1</v>
      </c>
      <c r="CE5" s="24">
        <v>1</v>
      </c>
      <c r="CF5" s="25">
        <v>1</v>
      </c>
      <c r="CG5" s="24">
        <v>1</v>
      </c>
      <c r="CH5" s="24">
        <v>1</v>
      </c>
      <c r="CI5" s="24">
        <v>1</v>
      </c>
      <c r="CJ5" s="24">
        <v>1</v>
      </c>
      <c r="CK5" s="24">
        <v>1</v>
      </c>
      <c r="CL5" s="25">
        <v>1</v>
      </c>
      <c r="CM5" s="33">
        <f t="shared" ref="CM5:CM36" si="5">SUM(CA5:CL5)</f>
        <v>12</v>
      </c>
    </row>
    <row r="6" spans="1:91" ht="18.75" x14ac:dyDescent="0.3">
      <c r="A6" s="2">
        <v>1</v>
      </c>
      <c r="B6" s="16" t="s">
        <v>36</v>
      </c>
      <c r="C6" s="20" t="s">
        <v>37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8">
        <f t="shared" si="0"/>
        <v>15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8">
        <f t="shared" si="1"/>
        <v>12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8">
        <f t="shared" ref="AR6:AR69" si="6">SUM(AG6:AQ6)</f>
        <v>11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f t="shared" si="2"/>
        <v>11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f t="shared" si="3"/>
        <v>11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f t="shared" si="4"/>
        <v>9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f t="shared" si="5"/>
        <v>12</v>
      </c>
    </row>
    <row r="7" spans="1:91" ht="18.75" x14ac:dyDescent="0.3">
      <c r="A7" s="2">
        <v>2</v>
      </c>
      <c r="B7" s="16" t="s">
        <v>38</v>
      </c>
      <c r="C7" s="20" t="s">
        <v>39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8">
        <f t="shared" si="0"/>
        <v>15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8">
        <f t="shared" si="1"/>
        <v>12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8">
        <f t="shared" si="6"/>
        <v>11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f t="shared" si="2"/>
        <v>11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f t="shared" si="3"/>
        <v>11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f t="shared" si="4"/>
        <v>9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f t="shared" si="5"/>
        <v>12</v>
      </c>
    </row>
    <row r="8" spans="1:91" ht="18.75" x14ac:dyDescent="0.3">
      <c r="A8" s="2">
        <v>3</v>
      </c>
      <c r="B8" s="16" t="s">
        <v>40</v>
      </c>
      <c r="C8" s="20" t="s">
        <v>41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8">
        <f t="shared" si="0"/>
        <v>15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8">
        <f t="shared" si="1"/>
        <v>12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8">
        <f t="shared" si="6"/>
        <v>11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f t="shared" si="2"/>
        <v>11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f t="shared" si="3"/>
        <v>11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f t="shared" si="4"/>
        <v>9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f t="shared" si="5"/>
        <v>12</v>
      </c>
    </row>
    <row r="9" spans="1:91" ht="18.75" x14ac:dyDescent="0.3">
      <c r="A9" s="2">
        <v>4</v>
      </c>
      <c r="B9" s="16" t="s">
        <v>42</v>
      </c>
      <c r="C9" s="20" t="s">
        <v>43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8">
        <f t="shared" si="0"/>
        <v>15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8">
        <f t="shared" si="1"/>
        <v>12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8">
        <f t="shared" si="6"/>
        <v>11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f t="shared" si="2"/>
        <v>11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f t="shared" si="3"/>
        <v>11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f t="shared" si="4"/>
        <v>9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1</v>
      </c>
      <c r="CG9" s="3">
        <v>1</v>
      </c>
      <c r="CH9" s="3">
        <v>1</v>
      </c>
      <c r="CI9" s="3">
        <v>1</v>
      </c>
      <c r="CJ9" s="3">
        <v>1</v>
      </c>
      <c r="CK9" s="3">
        <v>1</v>
      </c>
      <c r="CL9" s="3">
        <v>1</v>
      </c>
      <c r="CM9" s="3">
        <f t="shared" si="5"/>
        <v>12</v>
      </c>
    </row>
    <row r="10" spans="1:91" ht="18.75" x14ac:dyDescent="0.3">
      <c r="A10" s="2">
        <v>5</v>
      </c>
      <c r="B10" s="16" t="s">
        <v>44</v>
      </c>
      <c r="C10" s="20" t="s">
        <v>45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8">
        <f t="shared" si="0"/>
        <v>15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8">
        <f t="shared" si="1"/>
        <v>12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8">
        <f t="shared" si="6"/>
        <v>11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f t="shared" si="2"/>
        <v>11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f t="shared" si="3"/>
        <v>11</v>
      </c>
      <c r="BQ10" s="3">
        <v>1</v>
      </c>
      <c r="BR10" s="3">
        <v>1</v>
      </c>
      <c r="BS10" s="3">
        <v>1</v>
      </c>
      <c r="BT10" s="3">
        <v>1</v>
      </c>
      <c r="BU10" s="3">
        <v>1</v>
      </c>
      <c r="BV10" s="3">
        <v>1</v>
      </c>
      <c r="BW10" s="3">
        <v>1</v>
      </c>
      <c r="BX10" s="3">
        <v>1</v>
      </c>
      <c r="BY10" s="3">
        <v>1</v>
      </c>
      <c r="BZ10" s="3">
        <f t="shared" si="4"/>
        <v>9</v>
      </c>
      <c r="CA10" s="3">
        <v>1</v>
      </c>
      <c r="CB10" s="3">
        <v>1</v>
      </c>
      <c r="CC10" s="3">
        <v>1</v>
      </c>
      <c r="CD10" s="3">
        <v>1</v>
      </c>
      <c r="CE10" s="3">
        <v>1</v>
      </c>
      <c r="CF10" s="3">
        <v>1</v>
      </c>
      <c r="CG10" s="3">
        <v>1</v>
      </c>
      <c r="CH10" s="3">
        <v>1</v>
      </c>
      <c r="CI10" s="3">
        <v>1</v>
      </c>
      <c r="CJ10" s="3">
        <v>1</v>
      </c>
      <c r="CK10" s="3">
        <v>1</v>
      </c>
      <c r="CL10" s="3">
        <v>1</v>
      </c>
      <c r="CM10" s="3">
        <f t="shared" si="5"/>
        <v>12</v>
      </c>
    </row>
    <row r="11" spans="1:91" ht="18.75" x14ac:dyDescent="0.3">
      <c r="A11" s="2">
        <v>6</v>
      </c>
      <c r="B11" s="16" t="s">
        <v>46</v>
      </c>
      <c r="C11" s="20" t="s">
        <v>47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8">
        <f t="shared" si="0"/>
        <v>15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8">
        <f t="shared" si="1"/>
        <v>12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8">
        <f t="shared" si="6"/>
        <v>11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f t="shared" si="2"/>
        <v>11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 s="3">
        <v>1</v>
      </c>
      <c r="BK11" s="3">
        <v>1</v>
      </c>
      <c r="BL11" s="3">
        <v>1</v>
      </c>
      <c r="BM11" s="3">
        <v>1</v>
      </c>
      <c r="BN11" s="3">
        <v>1</v>
      </c>
      <c r="BO11" s="3">
        <v>1</v>
      </c>
      <c r="BP11" s="3">
        <f t="shared" si="3"/>
        <v>11</v>
      </c>
      <c r="BQ11" s="3">
        <v>1</v>
      </c>
      <c r="BR11" s="3">
        <v>1</v>
      </c>
      <c r="BS11" s="3">
        <v>1</v>
      </c>
      <c r="BT11" s="3">
        <v>1</v>
      </c>
      <c r="BU11" s="3">
        <v>1</v>
      </c>
      <c r="BV11" s="3">
        <v>1</v>
      </c>
      <c r="BW11" s="3">
        <v>1</v>
      </c>
      <c r="BX11" s="3">
        <v>1</v>
      </c>
      <c r="BY11" s="3">
        <v>1</v>
      </c>
      <c r="BZ11" s="3">
        <f t="shared" si="4"/>
        <v>9</v>
      </c>
      <c r="CA11" s="3">
        <v>1</v>
      </c>
      <c r="CB11" s="3">
        <v>1</v>
      </c>
      <c r="CC11" s="3">
        <v>1</v>
      </c>
      <c r="CD11" s="3">
        <v>1</v>
      </c>
      <c r="CE11" s="3">
        <v>1</v>
      </c>
      <c r="CF11" s="3">
        <v>1</v>
      </c>
      <c r="CG11" s="3">
        <v>1</v>
      </c>
      <c r="CH11" s="3">
        <v>1</v>
      </c>
      <c r="CI11" s="3">
        <v>1</v>
      </c>
      <c r="CJ11" s="3">
        <v>1</v>
      </c>
      <c r="CK11" s="3">
        <v>1</v>
      </c>
      <c r="CL11" s="3">
        <v>1</v>
      </c>
      <c r="CM11" s="3">
        <f t="shared" si="5"/>
        <v>12</v>
      </c>
    </row>
    <row r="12" spans="1:91" ht="18.75" x14ac:dyDescent="0.3">
      <c r="A12" s="2">
        <v>7</v>
      </c>
      <c r="B12" s="16" t="s">
        <v>48</v>
      </c>
      <c r="C12" s="20" t="s">
        <v>49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8">
        <f t="shared" si="0"/>
        <v>15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8">
        <f t="shared" si="1"/>
        <v>12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8">
        <f t="shared" si="6"/>
        <v>11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f t="shared" si="2"/>
        <v>11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3">
        <v>1</v>
      </c>
      <c r="BO12" s="3">
        <v>1</v>
      </c>
      <c r="BP12" s="3">
        <f t="shared" si="3"/>
        <v>11</v>
      </c>
      <c r="BQ12" s="3">
        <v>1</v>
      </c>
      <c r="BR12" s="3">
        <v>1</v>
      </c>
      <c r="BS12" s="3">
        <v>1</v>
      </c>
      <c r="BT12" s="3">
        <v>1</v>
      </c>
      <c r="BU12" s="3">
        <v>1</v>
      </c>
      <c r="BV12" s="3">
        <v>1</v>
      </c>
      <c r="BW12" s="3">
        <v>1</v>
      </c>
      <c r="BX12" s="3">
        <v>1</v>
      </c>
      <c r="BY12" s="3">
        <v>1</v>
      </c>
      <c r="BZ12" s="3">
        <f t="shared" si="4"/>
        <v>9</v>
      </c>
      <c r="CA12" s="3">
        <v>1</v>
      </c>
      <c r="CB12" s="3">
        <v>1</v>
      </c>
      <c r="CC12" s="3">
        <v>1</v>
      </c>
      <c r="CD12" s="3">
        <v>1</v>
      </c>
      <c r="CE12" s="3">
        <v>1</v>
      </c>
      <c r="CF12" s="3">
        <v>1</v>
      </c>
      <c r="CG12" s="3">
        <v>1</v>
      </c>
      <c r="CH12" s="3">
        <v>1</v>
      </c>
      <c r="CI12" s="3">
        <v>1</v>
      </c>
      <c r="CJ12" s="3">
        <v>1</v>
      </c>
      <c r="CK12" s="3">
        <v>1</v>
      </c>
      <c r="CL12" s="3">
        <v>1</v>
      </c>
      <c r="CM12" s="3">
        <f t="shared" si="5"/>
        <v>12</v>
      </c>
    </row>
    <row r="13" spans="1:91" ht="18.75" x14ac:dyDescent="0.3">
      <c r="A13" s="2">
        <v>8</v>
      </c>
      <c r="B13" s="16" t="s">
        <v>50</v>
      </c>
      <c r="C13" s="20" t="s">
        <v>51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8">
        <f t="shared" si="0"/>
        <v>15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8">
        <f t="shared" si="1"/>
        <v>12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8">
        <f t="shared" si="6"/>
        <v>11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f t="shared" si="2"/>
        <v>11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3">
        <v>1</v>
      </c>
      <c r="BO13" s="3">
        <v>1</v>
      </c>
      <c r="BP13" s="3">
        <f t="shared" si="3"/>
        <v>11</v>
      </c>
      <c r="BQ13" s="3">
        <v>1</v>
      </c>
      <c r="BR13" s="3">
        <v>1</v>
      </c>
      <c r="BS13" s="3">
        <v>1</v>
      </c>
      <c r="BT13" s="3">
        <v>1</v>
      </c>
      <c r="BU13" s="3">
        <v>1</v>
      </c>
      <c r="BV13" s="3">
        <v>1</v>
      </c>
      <c r="BW13" s="3">
        <v>1</v>
      </c>
      <c r="BX13" s="3">
        <v>1</v>
      </c>
      <c r="BY13" s="3">
        <v>1</v>
      </c>
      <c r="BZ13" s="3">
        <f t="shared" si="4"/>
        <v>9</v>
      </c>
      <c r="CA13" s="3">
        <v>1</v>
      </c>
      <c r="CB13" s="3">
        <v>1</v>
      </c>
      <c r="CC13" s="3">
        <v>1</v>
      </c>
      <c r="CD13" s="3">
        <v>1</v>
      </c>
      <c r="CE13" s="3">
        <v>1</v>
      </c>
      <c r="CF13" s="3">
        <v>1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3">
        <v>1</v>
      </c>
      <c r="CM13" s="3">
        <f t="shared" si="5"/>
        <v>12</v>
      </c>
    </row>
    <row r="14" spans="1:91" ht="18.75" x14ac:dyDescent="0.3">
      <c r="A14" s="2">
        <v>9</v>
      </c>
      <c r="B14" s="16" t="s">
        <v>52</v>
      </c>
      <c r="C14" s="20" t="s">
        <v>53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8">
        <f t="shared" si="0"/>
        <v>15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8">
        <f t="shared" si="1"/>
        <v>12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8">
        <f t="shared" si="6"/>
        <v>11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f t="shared" si="2"/>
        <v>11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f t="shared" si="3"/>
        <v>11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f t="shared" si="4"/>
        <v>9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1</v>
      </c>
      <c r="CM14" s="3">
        <f t="shared" si="5"/>
        <v>12</v>
      </c>
    </row>
    <row r="15" spans="1:91" ht="18.75" x14ac:dyDescent="0.3">
      <c r="A15" s="2">
        <v>10</v>
      </c>
      <c r="B15" s="16" t="s">
        <v>54</v>
      </c>
      <c r="C15" s="20" t="s">
        <v>55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8">
        <f t="shared" si="0"/>
        <v>15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8">
        <f t="shared" si="1"/>
        <v>12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8">
        <f t="shared" si="6"/>
        <v>11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f t="shared" si="2"/>
        <v>11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f t="shared" si="3"/>
        <v>11</v>
      </c>
      <c r="BQ15" s="3">
        <v>1</v>
      </c>
      <c r="BR15" s="3">
        <v>1</v>
      </c>
      <c r="BS15" s="3">
        <v>1</v>
      </c>
      <c r="BT15" s="3">
        <v>1</v>
      </c>
      <c r="BU15" s="3">
        <v>1</v>
      </c>
      <c r="BV15" s="3">
        <v>1</v>
      </c>
      <c r="BW15" s="3">
        <v>1</v>
      </c>
      <c r="BX15" s="3">
        <v>1</v>
      </c>
      <c r="BY15" s="3">
        <v>1</v>
      </c>
      <c r="BZ15" s="3">
        <f t="shared" si="4"/>
        <v>9</v>
      </c>
      <c r="CA15" s="3">
        <v>1</v>
      </c>
      <c r="CB15" s="3">
        <v>1</v>
      </c>
      <c r="CC15" s="3">
        <v>1</v>
      </c>
      <c r="CD15" s="3">
        <v>1</v>
      </c>
      <c r="CE15" s="3">
        <v>1</v>
      </c>
      <c r="CF15" s="3">
        <v>1</v>
      </c>
      <c r="CG15" s="3">
        <v>1</v>
      </c>
      <c r="CH15" s="3">
        <v>1</v>
      </c>
      <c r="CI15" s="3">
        <v>1</v>
      </c>
      <c r="CJ15" s="3">
        <v>1</v>
      </c>
      <c r="CK15" s="3">
        <v>1</v>
      </c>
      <c r="CL15" s="3">
        <v>1</v>
      </c>
      <c r="CM15" s="3">
        <f t="shared" si="5"/>
        <v>12</v>
      </c>
    </row>
    <row r="16" spans="1:91" ht="18.75" x14ac:dyDescent="0.3">
      <c r="A16" s="2">
        <v>11</v>
      </c>
      <c r="B16" s="16" t="s">
        <v>56</v>
      </c>
      <c r="C16" s="20" t="s">
        <v>57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8">
        <f t="shared" si="0"/>
        <v>15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8">
        <f t="shared" si="1"/>
        <v>12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8">
        <f t="shared" si="6"/>
        <v>11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f t="shared" si="2"/>
        <v>11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f t="shared" si="3"/>
        <v>11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1</v>
      </c>
      <c r="BY16" s="3">
        <v>1</v>
      </c>
      <c r="BZ16" s="3">
        <f t="shared" si="4"/>
        <v>9</v>
      </c>
      <c r="CA16" s="3">
        <v>1</v>
      </c>
      <c r="CB16" s="3">
        <v>1</v>
      </c>
      <c r="CC16" s="3">
        <v>1</v>
      </c>
      <c r="CD16" s="3">
        <v>1</v>
      </c>
      <c r="CE16" s="3">
        <v>1</v>
      </c>
      <c r="CF16" s="3">
        <v>1</v>
      </c>
      <c r="CG16" s="3">
        <v>1</v>
      </c>
      <c r="CH16" s="3">
        <v>1</v>
      </c>
      <c r="CI16" s="3">
        <v>1</v>
      </c>
      <c r="CJ16" s="3">
        <v>1</v>
      </c>
      <c r="CK16" s="3">
        <v>1</v>
      </c>
      <c r="CL16" s="3">
        <v>1</v>
      </c>
      <c r="CM16" s="3">
        <f t="shared" si="5"/>
        <v>12</v>
      </c>
    </row>
    <row r="17" spans="1:91" ht="18.75" x14ac:dyDescent="0.3">
      <c r="A17" s="2">
        <v>12</v>
      </c>
      <c r="B17" s="16" t="s">
        <v>58</v>
      </c>
      <c r="C17" s="20" t="s">
        <v>59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8">
        <f t="shared" si="0"/>
        <v>15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8">
        <f t="shared" si="1"/>
        <v>12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8">
        <f t="shared" si="6"/>
        <v>11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f t="shared" si="2"/>
        <v>11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f t="shared" si="3"/>
        <v>11</v>
      </c>
      <c r="BQ17" s="3">
        <v>1</v>
      </c>
      <c r="BR17" s="3">
        <v>1</v>
      </c>
      <c r="BS17" s="3">
        <v>1</v>
      </c>
      <c r="BT17" s="3">
        <v>1</v>
      </c>
      <c r="BU17" s="3">
        <v>1</v>
      </c>
      <c r="BV17" s="3">
        <v>1</v>
      </c>
      <c r="BW17" s="3">
        <v>1</v>
      </c>
      <c r="BX17" s="3">
        <v>1</v>
      </c>
      <c r="BY17" s="3">
        <v>1</v>
      </c>
      <c r="BZ17" s="3">
        <f t="shared" si="4"/>
        <v>9</v>
      </c>
      <c r="CA17" s="3">
        <v>1</v>
      </c>
      <c r="CB17" s="3">
        <v>1</v>
      </c>
      <c r="CC17" s="3">
        <v>1</v>
      </c>
      <c r="CD17" s="3">
        <v>1</v>
      </c>
      <c r="CE17" s="3">
        <v>1</v>
      </c>
      <c r="CF17" s="3">
        <v>1</v>
      </c>
      <c r="CG17" s="3">
        <v>1</v>
      </c>
      <c r="CH17" s="3">
        <v>1</v>
      </c>
      <c r="CI17" s="3">
        <v>1</v>
      </c>
      <c r="CJ17" s="3">
        <v>1</v>
      </c>
      <c r="CK17" s="3">
        <v>1</v>
      </c>
      <c r="CL17" s="3">
        <v>1</v>
      </c>
      <c r="CM17" s="3">
        <f t="shared" si="5"/>
        <v>12</v>
      </c>
    </row>
    <row r="18" spans="1:91" ht="18.75" x14ac:dyDescent="0.3">
      <c r="A18" s="2">
        <v>13</v>
      </c>
      <c r="B18" s="16" t="s">
        <v>60</v>
      </c>
      <c r="C18" s="20" t="s">
        <v>61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8">
        <f t="shared" si="0"/>
        <v>15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8">
        <f t="shared" si="1"/>
        <v>12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8">
        <f t="shared" si="6"/>
        <v>11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f t="shared" si="2"/>
        <v>11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3">
        <v>1</v>
      </c>
      <c r="BK18" s="3">
        <v>1</v>
      </c>
      <c r="BL18" s="3">
        <v>1</v>
      </c>
      <c r="BM18" s="3">
        <v>1</v>
      </c>
      <c r="BN18" s="3">
        <v>1</v>
      </c>
      <c r="BO18" s="3">
        <v>1</v>
      </c>
      <c r="BP18" s="3">
        <f t="shared" si="3"/>
        <v>11</v>
      </c>
      <c r="BQ18" s="3">
        <v>1</v>
      </c>
      <c r="BR18" s="3">
        <v>1</v>
      </c>
      <c r="BS18" s="3">
        <v>1</v>
      </c>
      <c r="BT18" s="3">
        <v>1</v>
      </c>
      <c r="BU18" s="3">
        <v>1</v>
      </c>
      <c r="BV18" s="3">
        <v>1</v>
      </c>
      <c r="BW18" s="3">
        <v>1</v>
      </c>
      <c r="BX18" s="3">
        <v>1</v>
      </c>
      <c r="BY18" s="3">
        <v>1</v>
      </c>
      <c r="BZ18" s="3">
        <f t="shared" si="4"/>
        <v>9</v>
      </c>
      <c r="CA18" s="3">
        <v>1</v>
      </c>
      <c r="CB18" s="3">
        <v>1</v>
      </c>
      <c r="CC18" s="3">
        <v>1</v>
      </c>
      <c r="CD18" s="3">
        <v>1</v>
      </c>
      <c r="CE18" s="3">
        <v>1</v>
      </c>
      <c r="CF18" s="3">
        <v>1</v>
      </c>
      <c r="CG18" s="3">
        <v>1</v>
      </c>
      <c r="CH18" s="3">
        <v>1</v>
      </c>
      <c r="CI18" s="3">
        <v>1</v>
      </c>
      <c r="CJ18" s="3">
        <v>1</v>
      </c>
      <c r="CK18" s="3">
        <v>1</v>
      </c>
      <c r="CL18" s="3">
        <v>1</v>
      </c>
      <c r="CM18" s="3">
        <f t="shared" si="5"/>
        <v>12</v>
      </c>
    </row>
    <row r="19" spans="1:91" ht="18.75" x14ac:dyDescent="0.3">
      <c r="A19" s="2">
        <v>14</v>
      </c>
      <c r="B19" s="16" t="s">
        <v>62</v>
      </c>
      <c r="C19" s="20" t="s">
        <v>63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8">
        <f t="shared" si="0"/>
        <v>15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8">
        <f t="shared" si="1"/>
        <v>12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8">
        <f t="shared" si="6"/>
        <v>11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f t="shared" si="2"/>
        <v>11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1</v>
      </c>
      <c r="BP19" s="3">
        <f t="shared" si="3"/>
        <v>11</v>
      </c>
      <c r="BQ19" s="3">
        <v>1</v>
      </c>
      <c r="BR19" s="3">
        <v>1</v>
      </c>
      <c r="BS19" s="3">
        <v>1</v>
      </c>
      <c r="BT19" s="3">
        <v>1</v>
      </c>
      <c r="BU19" s="3">
        <v>1</v>
      </c>
      <c r="BV19" s="3">
        <v>1</v>
      </c>
      <c r="BW19" s="3">
        <v>1</v>
      </c>
      <c r="BX19" s="3">
        <v>1</v>
      </c>
      <c r="BY19" s="3">
        <v>1</v>
      </c>
      <c r="BZ19" s="3">
        <f t="shared" si="4"/>
        <v>9</v>
      </c>
      <c r="CA19" s="3">
        <v>1</v>
      </c>
      <c r="CB19" s="3">
        <v>1</v>
      </c>
      <c r="CC19" s="3">
        <v>1</v>
      </c>
      <c r="CD19" s="3">
        <v>1</v>
      </c>
      <c r="CE19" s="3">
        <v>1</v>
      </c>
      <c r="CF19" s="3">
        <v>1</v>
      </c>
      <c r="CG19" s="3">
        <v>1</v>
      </c>
      <c r="CH19" s="3">
        <v>1</v>
      </c>
      <c r="CI19" s="3">
        <v>1</v>
      </c>
      <c r="CJ19" s="3">
        <v>1</v>
      </c>
      <c r="CK19" s="3">
        <v>1</v>
      </c>
      <c r="CL19" s="3">
        <v>1</v>
      </c>
      <c r="CM19" s="3">
        <f t="shared" si="5"/>
        <v>12</v>
      </c>
    </row>
    <row r="20" spans="1:91" ht="18.75" x14ac:dyDescent="0.3">
      <c r="A20" s="2">
        <v>15</v>
      </c>
      <c r="B20" s="16" t="s">
        <v>64</v>
      </c>
      <c r="C20" s="20" t="s">
        <v>65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8">
        <f t="shared" si="0"/>
        <v>15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8">
        <f t="shared" si="1"/>
        <v>12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8">
        <f t="shared" si="6"/>
        <v>11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f t="shared" si="2"/>
        <v>11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  <c r="BN20" s="3">
        <v>1</v>
      </c>
      <c r="BO20" s="3">
        <v>1</v>
      </c>
      <c r="BP20" s="3">
        <f t="shared" si="3"/>
        <v>11</v>
      </c>
      <c r="BQ20" s="3">
        <v>1</v>
      </c>
      <c r="BR20" s="3">
        <v>1</v>
      </c>
      <c r="BS20" s="3">
        <v>1</v>
      </c>
      <c r="BT20" s="3">
        <v>1</v>
      </c>
      <c r="BU20" s="3">
        <v>1</v>
      </c>
      <c r="BV20" s="3">
        <v>1</v>
      </c>
      <c r="BW20" s="3">
        <v>1</v>
      </c>
      <c r="BX20" s="3">
        <v>1</v>
      </c>
      <c r="BY20" s="3">
        <v>1</v>
      </c>
      <c r="BZ20" s="3">
        <f t="shared" si="4"/>
        <v>9</v>
      </c>
      <c r="CA20" s="3">
        <v>1</v>
      </c>
      <c r="CB20" s="3">
        <v>1</v>
      </c>
      <c r="CC20" s="3">
        <v>1</v>
      </c>
      <c r="CD20" s="3">
        <v>1</v>
      </c>
      <c r="CE20" s="3">
        <v>1</v>
      </c>
      <c r="CF20" s="3">
        <v>1</v>
      </c>
      <c r="CG20" s="3">
        <v>1</v>
      </c>
      <c r="CH20" s="3">
        <v>1</v>
      </c>
      <c r="CI20" s="3">
        <v>1</v>
      </c>
      <c r="CJ20" s="3">
        <v>1</v>
      </c>
      <c r="CK20" s="3">
        <v>1</v>
      </c>
      <c r="CL20" s="3">
        <v>1</v>
      </c>
      <c r="CM20" s="3">
        <f t="shared" si="5"/>
        <v>12</v>
      </c>
    </row>
    <row r="21" spans="1:91" ht="18.75" x14ac:dyDescent="0.3">
      <c r="A21" s="2">
        <v>16</v>
      </c>
      <c r="B21" s="16" t="s">
        <v>66</v>
      </c>
      <c r="C21" s="20" t="s">
        <v>67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8">
        <f t="shared" si="0"/>
        <v>15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8">
        <f t="shared" si="1"/>
        <v>12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8">
        <f t="shared" si="6"/>
        <v>11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f t="shared" si="2"/>
        <v>11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3">
        <v>1</v>
      </c>
      <c r="BO21" s="3">
        <v>1</v>
      </c>
      <c r="BP21" s="3">
        <f t="shared" si="3"/>
        <v>11</v>
      </c>
      <c r="BQ21" s="3">
        <v>1</v>
      </c>
      <c r="BR21" s="3">
        <v>1</v>
      </c>
      <c r="BS21" s="3">
        <v>1</v>
      </c>
      <c r="BT21" s="3">
        <v>1</v>
      </c>
      <c r="BU21" s="3">
        <v>1</v>
      </c>
      <c r="BV21" s="3">
        <v>1</v>
      </c>
      <c r="BW21" s="3">
        <v>1</v>
      </c>
      <c r="BX21" s="3">
        <v>1</v>
      </c>
      <c r="BY21" s="3">
        <v>1</v>
      </c>
      <c r="BZ21" s="3">
        <f t="shared" si="4"/>
        <v>9</v>
      </c>
      <c r="CA21" s="3">
        <v>1</v>
      </c>
      <c r="CB21" s="3">
        <v>1</v>
      </c>
      <c r="CC21" s="3">
        <v>1</v>
      </c>
      <c r="CD21" s="3">
        <v>1</v>
      </c>
      <c r="CE21" s="3">
        <v>1</v>
      </c>
      <c r="CF21" s="3">
        <v>1</v>
      </c>
      <c r="CG21" s="3">
        <v>1</v>
      </c>
      <c r="CH21" s="3">
        <v>1</v>
      </c>
      <c r="CI21" s="3">
        <v>1</v>
      </c>
      <c r="CJ21" s="3">
        <v>1</v>
      </c>
      <c r="CK21" s="3">
        <v>1</v>
      </c>
      <c r="CL21" s="3">
        <v>1</v>
      </c>
      <c r="CM21" s="3">
        <f t="shared" si="5"/>
        <v>12</v>
      </c>
    </row>
    <row r="22" spans="1:91" ht="18.75" x14ac:dyDescent="0.3">
      <c r="A22" s="2">
        <v>17</v>
      </c>
      <c r="B22" s="16" t="s">
        <v>68</v>
      </c>
      <c r="C22" s="20" t="s">
        <v>69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8">
        <f t="shared" si="0"/>
        <v>15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8">
        <f t="shared" si="1"/>
        <v>12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8">
        <f t="shared" si="6"/>
        <v>11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f t="shared" si="2"/>
        <v>11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f t="shared" si="3"/>
        <v>11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f t="shared" si="4"/>
        <v>9</v>
      </c>
      <c r="CA22" s="3">
        <v>1</v>
      </c>
      <c r="CB22" s="3">
        <v>1</v>
      </c>
      <c r="CC22" s="3">
        <v>1</v>
      </c>
      <c r="CD22" s="3">
        <v>1</v>
      </c>
      <c r="CE22" s="3">
        <v>1</v>
      </c>
      <c r="CF22" s="3">
        <v>1</v>
      </c>
      <c r="CG22" s="3">
        <v>1</v>
      </c>
      <c r="CH22" s="3">
        <v>1</v>
      </c>
      <c r="CI22" s="3">
        <v>1</v>
      </c>
      <c r="CJ22" s="3">
        <v>1</v>
      </c>
      <c r="CK22" s="3">
        <v>1</v>
      </c>
      <c r="CL22" s="3">
        <v>1</v>
      </c>
      <c r="CM22" s="3">
        <f t="shared" si="5"/>
        <v>12</v>
      </c>
    </row>
    <row r="23" spans="1:91" ht="18.75" x14ac:dyDescent="0.3">
      <c r="A23" s="2">
        <v>18</v>
      </c>
      <c r="B23" s="16" t="s">
        <v>70</v>
      </c>
      <c r="C23" s="20" t="s">
        <v>71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8">
        <f t="shared" si="0"/>
        <v>15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8">
        <f t="shared" si="1"/>
        <v>12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8">
        <f t="shared" si="6"/>
        <v>11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f t="shared" si="2"/>
        <v>11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3">
        <v>1</v>
      </c>
      <c r="BO23" s="3">
        <v>1</v>
      </c>
      <c r="BP23" s="3">
        <f t="shared" si="3"/>
        <v>11</v>
      </c>
      <c r="BQ23" s="3">
        <v>1</v>
      </c>
      <c r="BR23" s="3">
        <v>1</v>
      </c>
      <c r="BS23" s="3">
        <v>1</v>
      </c>
      <c r="BT23" s="3">
        <v>1</v>
      </c>
      <c r="BU23" s="3">
        <v>1</v>
      </c>
      <c r="BV23" s="3">
        <v>1</v>
      </c>
      <c r="BW23" s="3">
        <v>1</v>
      </c>
      <c r="BX23" s="3">
        <v>1</v>
      </c>
      <c r="BY23" s="3">
        <v>1</v>
      </c>
      <c r="BZ23" s="3">
        <f t="shared" si="4"/>
        <v>9</v>
      </c>
      <c r="CA23" s="3">
        <v>1</v>
      </c>
      <c r="CB23" s="3">
        <v>1</v>
      </c>
      <c r="CC23" s="3">
        <v>1</v>
      </c>
      <c r="CD23" s="3">
        <v>1</v>
      </c>
      <c r="CE23" s="3">
        <v>1</v>
      </c>
      <c r="CF23" s="3">
        <v>1</v>
      </c>
      <c r="CG23" s="3">
        <v>1</v>
      </c>
      <c r="CH23" s="3">
        <v>1</v>
      </c>
      <c r="CI23" s="3">
        <v>1</v>
      </c>
      <c r="CJ23" s="3">
        <v>1</v>
      </c>
      <c r="CK23" s="3">
        <v>1</v>
      </c>
      <c r="CL23" s="3">
        <v>1</v>
      </c>
      <c r="CM23" s="3">
        <f t="shared" si="5"/>
        <v>12</v>
      </c>
    </row>
    <row r="24" spans="1:91" ht="18.75" x14ac:dyDescent="0.3">
      <c r="A24" s="2">
        <v>19</v>
      </c>
      <c r="B24" s="16" t="s">
        <v>72</v>
      </c>
      <c r="C24" s="20" t="s">
        <v>73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8">
        <f t="shared" si="0"/>
        <v>15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8">
        <f t="shared" si="1"/>
        <v>12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8">
        <f t="shared" si="6"/>
        <v>11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f t="shared" si="2"/>
        <v>11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3">
        <v>1</v>
      </c>
      <c r="BN24" s="3">
        <v>1</v>
      </c>
      <c r="BO24" s="3">
        <v>1</v>
      </c>
      <c r="BP24" s="3">
        <f t="shared" si="3"/>
        <v>11</v>
      </c>
      <c r="BQ24" s="3">
        <v>1</v>
      </c>
      <c r="BR24" s="3">
        <v>1</v>
      </c>
      <c r="BS24" s="3">
        <v>1</v>
      </c>
      <c r="BT24" s="3">
        <v>1</v>
      </c>
      <c r="BU24" s="3">
        <v>1</v>
      </c>
      <c r="BV24" s="3">
        <v>1</v>
      </c>
      <c r="BW24" s="3">
        <v>1</v>
      </c>
      <c r="BX24" s="3">
        <v>1</v>
      </c>
      <c r="BY24" s="3">
        <v>1</v>
      </c>
      <c r="BZ24" s="3">
        <f t="shared" si="4"/>
        <v>9</v>
      </c>
      <c r="CA24" s="3">
        <v>1</v>
      </c>
      <c r="CB24" s="3">
        <v>1</v>
      </c>
      <c r="CC24" s="3">
        <v>1</v>
      </c>
      <c r="CD24" s="3">
        <v>1</v>
      </c>
      <c r="CE24" s="3">
        <v>1</v>
      </c>
      <c r="CF24" s="3">
        <v>1</v>
      </c>
      <c r="CG24" s="3">
        <v>1</v>
      </c>
      <c r="CH24" s="3">
        <v>1</v>
      </c>
      <c r="CI24" s="3">
        <v>1</v>
      </c>
      <c r="CJ24" s="3">
        <v>1</v>
      </c>
      <c r="CK24" s="3">
        <v>1</v>
      </c>
      <c r="CL24" s="3">
        <v>1</v>
      </c>
      <c r="CM24" s="3">
        <f t="shared" si="5"/>
        <v>12</v>
      </c>
    </row>
    <row r="25" spans="1:91" ht="18.75" x14ac:dyDescent="0.3">
      <c r="A25" s="2">
        <v>20</v>
      </c>
      <c r="B25" s="16" t="s">
        <v>74</v>
      </c>
      <c r="C25" s="20" t="s">
        <v>75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8">
        <f t="shared" si="0"/>
        <v>15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8">
        <f t="shared" si="1"/>
        <v>12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8">
        <f t="shared" si="6"/>
        <v>11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f t="shared" si="2"/>
        <v>11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L25" s="3">
        <v>1</v>
      </c>
      <c r="BM25" s="3">
        <v>1</v>
      </c>
      <c r="BN25" s="3">
        <v>1</v>
      </c>
      <c r="BO25" s="3">
        <v>1</v>
      </c>
      <c r="BP25" s="3">
        <f t="shared" si="3"/>
        <v>11</v>
      </c>
      <c r="BQ25" s="3">
        <v>1</v>
      </c>
      <c r="BR25" s="3">
        <v>1</v>
      </c>
      <c r="BS25" s="3">
        <v>1</v>
      </c>
      <c r="BT25" s="3">
        <v>1</v>
      </c>
      <c r="BU25" s="3">
        <v>1</v>
      </c>
      <c r="BV25" s="3">
        <v>1</v>
      </c>
      <c r="BW25" s="3">
        <v>1</v>
      </c>
      <c r="BX25" s="3">
        <v>1</v>
      </c>
      <c r="BY25" s="3">
        <v>1</v>
      </c>
      <c r="BZ25" s="3">
        <f t="shared" si="4"/>
        <v>9</v>
      </c>
      <c r="CA25" s="3">
        <v>1</v>
      </c>
      <c r="CB25" s="3">
        <v>1</v>
      </c>
      <c r="CC25" s="3">
        <v>1</v>
      </c>
      <c r="CD25" s="3">
        <v>1</v>
      </c>
      <c r="CE25" s="3">
        <v>1</v>
      </c>
      <c r="CF25" s="3">
        <v>1</v>
      </c>
      <c r="CG25" s="3">
        <v>1</v>
      </c>
      <c r="CH25" s="3">
        <v>1</v>
      </c>
      <c r="CI25" s="3">
        <v>1</v>
      </c>
      <c r="CJ25" s="3">
        <v>1</v>
      </c>
      <c r="CK25" s="3">
        <v>1</v>
      </c>
      <c r="CL25" s="3">
        <v>1</v>
      </c>
      <c r="CM25" s="3">
        <f t="shared" si="5"/>
        <v>12</v>
      </c>
    </row>
    <row r="26" spans="1:91" ht="18.75" x14ac:dyDescent="0.3">
      <c r="A26" s="2">
        <v>21</v>
      </c>
      <c r="B26" s="16" t="s">
        <v>76</v>
      </c>
      <c r="C26" s="20" t="s">
        <v>77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8">
        <f t="shared" si="0"/>
        <v>15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8">
        <f t="shared" si="1"/>
        <v>12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8">
        <f t="shared" si="6"/>
        <v>11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f t="shared" si="2"/>
        <v>11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3">
        <v>1</v>
      </c>
      <c r="BO26" s="3">
        <v>1</v>
      </c>
      <c r="BP26" s="3">
        <f t="shared" si="3"/>
        <v>11</v>
      </c>
      <c r="BQ26" s="3">
        <v>1</v>
      </c>
      <c r="BR26" s="3">
        <v>1</v>
      </c>
      <c r="BS26" s="3">
        <v>1</v>
      </c>
      <c r="BT26" s="3">
        <v>1</v>
      </c>
      <c r="BU26" s="3">
        <v>1</v>
      </c>
      <c r="BV26" s="3">
        <v>1</v>
      </c>
      <c r="BW26" s="3">
        <v>1</v>
      </c>
      <c r="BX26" s="3">
        <v>1</v>
      </c>
      <c r="BY26" s="3">
        <v>1</v>
      </c>
      <c r="BZ26" s="3">
        <f t="shared" si="4"/>
        <v>9</v>
      </c>
      <c r="CA26" s="3">
        <v>1</v>
      </c>
      <c r="CB26" s="3">
        <v>1</v>
      </c>
      <c r="CC26" s="3">
        <v>1</v>
      </c>
      <c r="CD26" s="3">
        <v>1</v>
      </c>
      <c r="CE26" s="3">
        <v>1</v>
      </c>
      <c r="CF26" s="3">
        <v>1</v>
      </c>
      <c r="CG26" s="3">
        <v>1</v>
      </c>
      <c r="CH26" s="3">
        <v>1</v>
      </c>
      <c r="CI26" s="3">
        <v>1</v>
      </c>
      <c r="CJ26" s="3">
        <v>1</v>
      </c>
      <c r="CK26" s="3">
        <v>1</v>
      </c>
      <c r="CL26" s="3">
        <v>1</v>
      </c>
      <c r="CM26" s="3">
        <f t="shared" si="5"/>
        <v>12</v>
      </c>
    </row>
    <row r="27" spans="1:91" ht="18" x14ac:dyDescent="0.35">
      <c r="A27" s="2">
        <v>22</v>
      </c>
      <c r="B27" s="16" t="s">
        <v>78</v>
      </c>
      <c r="C27" s="20" t="s">
        <v>79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8">
        <f t="shared" si="0"/>
        <v>15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8">
        <f t="shared" si="1"/>
        <v>12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3">
        <v>1</v>
      </c>
      <c r="AN27" s="3">
        <v>1</v>
      </c>
      <c r="AO27" s="3">
        <v>1</v>
      </c>
      <c r="AP27" s="3">
        <v>1</v>
      </c>
      <c r="AQ27" s="3">
        <v>1</v>
      </c>
      <c r="AR27" s="8">
        <f t="shared" si="6"/>
        <v>11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f t="shared" si="2"/>
        <v>11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3">
        <v>1</v>
      </c>
      <c r="BO27" s="3">
        <v>1</v>
      </c>
      <c r="BP27" s="3">
        <f t="shared" si="3"/>
        <v>11</v>
      </c>
      <c r="BQ27" s="3">
        <v>1</v>
      </c>
      <c r="BR27" s="3">
        <v>1</v>
      </c>
      <c r="BS27" s="3">
        <v>1</v>
      </c>
      <c r="BT27" s="3">
        <v>1</v>
      </c>
      <c r="BU27" s="3">
        <v>1</v>
      </c>
      <c r="BV27" s="3">
        <v>1</v>
      </c>
      <c r="BW27" s="3">
        <v>1</v>
      </c>
      <c r="BX27" s="3">
        <v>1</v>
      </c>
      <c r="BY27" s="3">
        <v>1</v>
      </c>
      <c r="BZ27" s="3">
        <f t="shared" si="4"/>
        <v>9</v>
      </c>
      <c r="CA27" s="3">
        <v>1</v>
      </c>
      <c r="CB27" s="3">
        <v>1</v>
      </c>
      <c r="CC27" s="3">
        <v>1</v>
      </c>
      <c r="CD27" s="3">
        <v>1</v>
      </c>
      <c r="CE27" s="3">
        <v>1</v>
      </c>
      <c r="CF27" s="3">
        <v>1</v>
      </c>
      <c r="CG27" s="3">
        <v>1</v>
      </c>
      <c r="CH27" s="3">
        <v>1</v>
      </c>
      <c r="CI27" s="3">
        <v>1</v>
      </c>
      <c r="CJ27" s="3">
        <v>1</v>
      </c>
      <c r="CK27" s="3">
        <v>1</v>
      </c>
      <c r="CL27" s="3">
        <v>1</v>
      </c>
      <c r="CM27" s="3">
        <f t="shared" si="5"/>
        <v>12</v>
      </c>
    </row>
    <row r="28" spans="1:91" ht="18" x14ac:dyDescent="0.35">
      <c r="A28" s="2">
        <v>23</v>
      </c>
      <c r="B28" s="16" t="s">
        <v>80</v>
      </c>
      <c r="C28" s="20" t="s">
        <v>81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8">
        <f t="shared" si="0"/>
        <v>15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8">
        <f t="shared" si="1"/>
        <v>12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8">
        <f t="shared" si="6"/>
        <v>11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f t="shared" si="2"/>
        <v>11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3">
        <v>1</v>
      </c>
      <c r="BO28" s="3">
        <v>1</v>
      </c>
      <c r="BP28" s="3">
        <f t="shared" si="3"/>
        <v>11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1</v>
      </c>
      <c r="BY28" s="3">
        <v>1</v>
      </c>
      <c r="BZ28" s="3">
        <f t="shared" si="4"/>
        <v>9</v>
      </c>
      <c r="CA28" s="3">
        <v>1</v>
      </c>
      <c r="CB28" s="3">
        <v>1</v>
      </c>
      <c r="CC28" s="3">
        <v>1</v>
      </c>
      <c r="CD28" s="3">
        <v>1</v>
      </c>
      <c r="CE28" s="3">
        <v>1</v>
      </c>
      <c r="CF28" s="3">
        <v>1</v>
      </c>
      <c r="CG28" s="3">
        <v>1</v>
      </c>
      <c r="CH28" s="3">
        <v>1</v>
      </c>
      <c r="CI28" s="3">
        <v>1</v>
      </c>
      <c r="CJ28" s="3">
        <v>1</v>
      </c>
      <c r="CK28" s="3">
        <v>1</v>
      </c>
      <c r="CL28" s="3">
        <v>1</v>
      </c>
      <c r="CM28" s="3">
        <f t="shared" si="5"/>
        <v>12</v>
      </c>
    </row>
    <row r="29" spans="1:91" ht="18" x14ac:dyDescent="0.35">
      <c r="A29" s="2">
        <v>24</v>
      </c>
      <c r="B29" s="16" t="s">
        <v>82</v>
      </c>
      <c r="C29" s="20" t="s">
        <v>83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8">
        <f t="shared" si="0"/>
        <v>15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8">
        <f t="shared" si="1"/>
        <v>12</v>
      </c>
      <c r="AG29" s="3">
        <v>1</v>
      </c>
      <c r="AH29" s="3">
        <v>1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3">
        <v>1</v>
      </c>
      <c r="AP29" s="3">
        <v>1</v>
      </c>
      <c r="AQ29" s="3">
        <v>1</v>
      </c>
      <c r="AR29" s="8">
        <f t="shared" si="6"/>
        <v>11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f t="shared" si="2"/>
        <v>11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3">
        <v>1</v>
      </c>
      <c r="BM29" s="3">
        <v>1</v>
      </c>
      <c r="BN29" s="3">
        <v>1</v>
      </c>
      <c r="BO29" s="3">
        <v>1</v>
      </c>
      <c r="BP29" s="3">
        <f t="shared" si="3"/>
        <v>11</v>
      </c>
      <c r="BQ29" s="3">
        <v>1</v>
      </c>
      <c r="BR29" s="3">
        <v>1</v>
      </c>
      <c r="BS29" s="3">
        <v>1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>
        <v>1</v>
      </c>
      <c r="BZ29" s="3">
        <f t="shared" si="4"/>
        <v>9</v>
      </c>
      <c r="CA29" s="3">
        <v>1</v>
      </c>
      <c r="CB29" s="3">
        <v>1</v>
      </c>
      <c r="CC29" s="3">
        <v>1</v>
      </c>
      <c r="CD29" s="3">
        <v>1</v>
      </c>
      <c r="CE29" s="3">
        <v>1</v>
      </c>
      <c r="CF29" s="3">
        <v>1</v>
      </c>
      <c r="CG29" s="3">
        <v>1</v>
      </c>
      <c r="CH29" s="3">
        <v>1</v>
      </c>
      <c r="CI29" s="3">
        <v>1</v>
      </c>
      <c r="CJ29" s="3">
        <v>1</v>
      </c>
      <c r="CK29" s="3">
        <v>1</v>
      </c>
      <c r="CL29" s="3">
        <v>1</v>
      </c>
      <c r="CM29" s="3">
        <f t="shared" si="5"/>
        <v>12</v>
      </c>
    </row>
    <row r="30" spans="1:91" ht="18" x14ac:dyDescent="0.35">
      <c r="A30" s="2">
        <v>25</v>
      </c>
      <c r="B30" s="16" t="s">
        <v>84</v>
      </c>
      <c r="C30" s="20" t="s">
        <v>85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8">
        <f t="shared" si="0"/>
        <v>15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8">
        <f t="shared" si="1"/>
        <v>12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8">
        <f t="shared" si="6"/>
        <v>11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1</v>
      </c>
      <c r="BC30" s="3">
        <v>1</v>
      </c>
      <c r="BD30" s="3">
        <f t="shared" si="2"/>
        <v>11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L30" s="3">
        <v>1</v>
      </c>
      <c r="BM30" s="3">
        <v>1</v>
      </c>
      <c r="BN30" s="3">
        <v>1</v>
      </c>
      <c r="BO30" s="3">
        <v>1</v>
      </c>
      <c r="BP30" s="3">
        <f t="shared" si="3"/>
        <v>11</v>
      </c>
      <c r="BQ30" s="3">
        <v>1</v>
      </c>
      <c r="BR30" s="3">
        <v>1</v>
      </c>
      <c r="BS30" s="3">
        <v>1</v>
      </c>
      <c r="BT30" s="3">
        <v>1</v>
      </c>
      <c r="BU30" s="3">
        <v>1</v>
      </c>
      <c r="BV30" s="3">
        <v>1</v>
      </c>
      <c r="BW30" s="3">
        <v>1</v>
      </c>
      <c r="BX30" s="3">
        <v>1</v>
      </c>
      <c r="BY30" s="3">
        <v>1</v>
      </c>
      <c r="BZ30" s="3">
        <f t="shared" si="4"/>
        <v>9</v>
      </c>
      <c r="CA30" s="3">
        <v>1</v>
      </c>
      <c r="CB30" s="3">
        <v>1</v>
      </c>
      <c r="CC30" s="3">
        <v>1</v>
      </c>
      <c r="CD30" s="3">
        <v>1</v>
      </c>
      <c r="CE30" s="3">
        <v>1</v>
      </c>
      <c r="CF30" s="3">
        <v>1</v>
      </c>
      <c r="CG30" s="3">
        <v>1</v>
      </c>
      <c r="CH30" s="3">
        <v>1</v>
      </c>
      <c r="CI30" s="3">
        <v>1</v>
      </c>
      <c r="CJ30" s="3">
        <v>1</v>
      </c>
      <c r="CK30" s="3">
        <v>1</v>
      </c>
      <c r="CL30" s="3">
        <v>1</v>
      </c>
      <c r="CM30" s="3">
        <f t="shared" si="5"/>
        <v>12</v>
      </c>
    </row>
    <row r="31" spans="1:91" ht="18" x14ac:dyDescent="0.35">
      <c r="A31" s="2">
        <v>26</v>
      </c>
      <c r="B31" s="16" t="s">
        <v>86</v>
      </c>
      <c r="C31" s="20" t="s">
        <v>87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8">
        <f t="shared" si="0"/>
        <v>15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8">
        <f t="shared" si="1"/>
        <v>12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3">
        <v>1</v>
      </c>
      <c r="AN31" s="3">
        <v>1</v>
      </c>
      <c r="AO31" s="3">
        <v>1</v>
      </c>
      <c r="AP31" s="3">
        <v>1</v>
      </c>
      <c r="AQ31" s="3">
        <v>1</v>
      </c>
      <c r="AR31" s="8">
        <f t="shared" si="6"/>
        <v>11</v>
      </c>
      <c r="AS31" s="3">
        <v>1</v>
      </c>
      <c r="AT31" s="3">
        <v>1</v>
      </c>
      <c r="AU31" s="3">
        <v>1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f t="shared" si="2"/>
        <v>11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3">
        <v>1</v>
      </c>
      <c r="BM31" s="3">
        <v>1</v>
      </c>
      <c r="BN31" s="3">
        <v>1</v>
      </c>
      <c r="BO31" s="3">
        <v>1</v>
      </c>
      <c r="BP31" s="3">
        <f t="shared" si="3"/>
        <v>11</v>
      </c>
      <c r="BQ31" s="3">
        <v>1</v>
      </c>
      <c r="BR31" s="3">
        <v>1</v>
      </c>
      <c r="BS31" s="3">
        <v>1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>
        <v>1</v>
      </c>
      <c r="BZ31" s="3">
        <f t="shared" si="4"/>
        <v>9</v>
      </c>
      <c r="CA31" s="3">
        <v>1</v>
      </c>
      <c r="CB31" s="3">
        <v>1</v>
      </c>
      <c r="CC31" s="3">
        <v>1</v>
      </c>
      <c r="CD31" s="3">
        <v>1</v>
      </c>
      <c r="CE31" s="3">
        <v>1</v>
      </c>
      <c r="CF31" s="3">
        <v>1</v>
      </c>
      <c r="CG31" s="3">
        <v>1</v>
      </c>
      <c r="CH31" s="3">
        <v>1</v>
      </c>
      <c r="CI31" s="3">
        <v>1</v>
      </c>
      <c r="CJ31" s="3">
        <v>1</v>
      </c>
      <c r="CK31" s="3">
        <v>1</v>
      </c>
      <c r="CL31" s="3">
        <v>1</v>
      </c>
      <c r="CM31" s="3">
        <f t="shared" si="5"/>
        <v>12</v>
      </c>
    </row>
    <row r="32" spans="1:91" ht="18" x14ac:dyDescent="0.35">
      <c r="A32" s="2">
        <v>27</v>
      </c>
      <c r="B32" s="16" t="s">
        <v>88</v>
      </c>
      <c r="C32" s="20" t="s">
        <v>89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8">
        <f t="shared" si="0"/>
        <v>15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8">
        <f t="shared" si="1"/>
        <v>12</v>
      </c>
      <c r="AG32" s="3">
        <v>1</v>
      </c>
      <c r="AH32" s="3">
        <v>1</v>
      </c>
      <c r="AI32" s="3">
        <v>1</v>
      </c>
      <c r="AJ32" s="3">
        <v>1</v>
      </c>
      <c r="AK32" s="3">
        <v>1</v>
      </c>
      <c r="AL32" s="3">
        <v>1</v>
      </c>
      <c r="AM32" s="3">
        <v>1</v>
      </c>
      <c r="AN32" s="3">
        <v>1</v>
      </c>
      <c r="AO32" s="3">
        <v>1</v>
      </c>
      <c r="AP32" s="3">
        <v>1</v>
      </c>
      <c r="AQ32" s="3">
        <v>1</v>
      </c>
      <c r="AR32" s="8">
        <f t="shared" si="6"/>
        <v>11</v>
      </c>
      <c r="AS32" s="3">
        <v>1</v>
      </c>
      <c r="AT32" s="3">
        <v>1</v>
      </c>
      <c r="AU32" s="3">
        <v>1</v>
      </c>
      <c r="AV32" s="3">
        <v>1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f t="shared" si="2"/>
        <v>11</v>
      </c>
      <c r="BE32" s="3">
        <v>1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3">
        <v>1</v>
      </c>
      <c r="BM32" s="3">
        <v>1</v>
      </c>
      <c r="BN32" s="3">
        <v>1</v>
      </c>
      <c r="BO32" s="3">
        <v>1</v>
      </c>
      <c r="BP32" s="3">
        <f t="shared" si="3"/>
        <v>11</v>
      </c>
      <c r="BQ32" s="3">
        <v>1</v>
      </c>
      <c r="BR32" s="3">
        <v>1</v>
      </c>
      <c r="BS32" s="3">
        <v>1</v>
      </c>
      <c r="BT32" s="3">
        <v>1</v>
      </c>
      <c r="BU32" s="3">
        <v>1</v>
      </c>
      <c r="BV32" s="3">
        <v>1</v>
      </c>
      <c r="BW32" s="3">
        <v>1</v>
      </c>
      <c r="BX32" s="3">
        <v>1</v>
      </c>
      <c r="BY32" s="3">
        <v>1</v>
      </c>
      <c r="BZ32" s="3">
        <f t="shared" si="4"/>
        <v>9</v>
      </c>
      <c r="CA32" s="3">
        <v>1</v>
      </c>
      <c r="CB32" s="3">
        <v>1</v>
      </c>
      <c r="CC32" s="3">
        <v>1</v>
      </c>
      <c r="CD32" s="3">
        <v>1</v>
      </c>
      <c r="CE32" s="3">
        <v>1</v>
      </c>
      <c r="CF32" s="3">
        <v>1</v>
      </c>
      <c r="CG32" s="3">
        <v>1</v>
      </c>
      <c r="CH32" s="3">
        <v>1</v>
      </c>
      <c r="CI32" s="3">
        <v>1</v>
      </c>
      <c r="CJ32" s="3">
        <v>1</v>
      </c>
      <c r="CK32" s="3">
        <v>1</v>
      </c>
      <c r="CL32" s="3">
        <v>1</v>
      </c>
      <c r="CM32" s="3">
        <f t="shared" si="5"/>
        <v>12</v>
      </c>
    </row>
    <row r="33" spans="1:91" ht="18" x14ac:dyDescent="0.35">
      <c r="A33" s="2">
        <v>28</v>
      </c>
      <c r="B33" s="16" t="s">
        <v>90</v>
      </c>
      <c r="C33" s="20" t="s">
        <v>91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8">
        <f t="shared" si="0"/>
        <v>15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8">
        <f t="shared" si="1"/>
        <v>12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8">
        <f t="shared" si="6"/>
        <v>11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f t="shared" si="2"/>
        <v>11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f t="shared" si="3"/>
        <v>11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f t="shared" si="4"/>
        <v>9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f t="shared" si="5"/>
        <v>12</v>
      </c>
    </row>
    <row r="34" spans="1:91" ht="18" x14ac:dyDescent="0.35">
      <c r="A34" s="2">
        <v>29</v>
      </c>
      <c r="B34" s="16" t="s">
        <v>92</v>
      </c>
      <c r="C34" s="20" t="s">
        <v>93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8">
        <f t="shared" si="0"/>
        <v>15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8">
        <f t="shared" si="1"/>
        <v>12</v>
      </c>
      <c r="AG34" s="3">
        <v>1</v>
      </c>
      <c r="AH34" s="3">
        <v>1</v>
      </c>
      <c r="AI34" s="3">
        <v>1</v>
      </c>
      <c r="AJ34" s="3">
        <v>1</v>
      </c>
      <c r="AK34" s="3">
        <v>1</v>
      </c>
      <c r="AL34" s="3">
        <v>1</v>
      </c>
      <c r="AM34" s="3">
        <v>1</v>
      </c>
      <c r="AN34" s="3">
        <v>1</v>
      </c>
      <c r="AO34" s="3">
        <v>1</v>
      </c>
      <c r="AP34" s="3">
        <v>1</v>
      </c>
      <c r="AQ34" s="3">
        <v>1</v>
      </c>
      <c r="AR34" s="8">
        <f t="shared" si="6"/>
        <v>11</v>
      </c>
      <c r="AS34" s="3">
        <v>1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f t="shared" si="2"/>
        <v>11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3">
        <v>1</v>
      </c>
      <c r="BM34" s="3">
        <v>1</v>
      </c>
      <c r="BN34" s="3">
        <v>1</v>
      </c>
      <c r="BO34" s="3">
        <v>1</v>
      </c>
      <c r="BP34" s="3">
        <f t="shared" si="3"/>
        <v>11</v>
      </c>
      <c r="BQ34" s="3">
        <v>1</v>
      </c>
      <c r="BR34" s="3">
        <v>1</v>
      </c>
      <c r="BS34" s="3">
        <v>1</v>
      </c>
      <c r="BT34" s="3">
        <v>1</v>
      </c>
      <c r="BU34" s="3">
        <v>1</v>
      </c>
      <c r="BV34" s="3">
        <v>1</v>
      </c>
      <c r="BW34" s="3">
        <v>1</v>
      </c>
      <c r="BX34" s="3">
        <v>1</v>
      </c>
      <c r="BY34" s="3">
        <v>1</v>
      </c>
      <c r="BZ34" s="3">
        <f t="shared" si="4"/>
        <v>9</v>
      </c>
      <c r="CA34" s="3">
        <v>1</v>
      </c>
      <c r="CB34" s="3">
        <v>1</v>
      </c>
      <c r="CC34" s="3">
        <v>1</v>
      </c>
      <c r="CD34" s="3">
        <v>1</v>
      </c>
      <c r="CE34" s="3">
        <v>1</v>
      </c>
      <c r="CF34" s="3">
        <v>1</v>
      </c>
      <c r="CG34" s="3">
        <v>1</v>
      </c>
      <c r="CH34" s="3">
        <v>1</v>
      </c>
      <c r="CI34" s="3">
        <v>1</v>
      </c>
      <c r="CJ34" s="3">
        <v>1</v>
      </c>
      <c r="CK34" s="3">
        <v>1</v>
      </c>
      <c r="CL34" s="3">
        <v>1</v>
      </c>
      <c r="CM34" s="3">
        <f t="shared" si="5"/>
        <v>12</v>
      </c>
    </row>
    <row r="35" spans="1:91" ht="18" x14ac:dyDescent="0.35">
      <c r="A35" s="2">
        <v>30</v>
      </c>
      <c r="B35" s="16" t="s">
        <v>94</v>
      </c>
      <c r="C35" s="20" t="s">
        <v>95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8">
        <f t="shared" si="0"/>
        <v>15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8">
        <f t="shared" si="1"/>
        <v>12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3">
        <v>1</v>
      </c>
      <c r="AP35" s="3">
        <v>1</v>
      </c>
      <c r="AQ35" s="3">
        <v>1</v>
      </c>
      <c r="AR35" s="8">
        <f t="shared" si="6"/>
        <v>11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f t="shared" si="2"/>
        <v>11</v>
      </c>
      <c r="BE35" s="3">
        <v>1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1</v>
      </c>
      <c r="BM35" s="3">
        <v>1</v>
      </c>
      <c r="BN35" s="3">
        <v>1</v>
      </c>
      <c r="BO35" s="3">
        <v>1</v>
      </c>
      <c r="BP35" s="3">
        <f t="shared" si="3"/>
        <v>11</v>
      </c>
      <c r="BQ35" s="3">
        <v>1</v>
      </c>
      <c r="BR35" s="3">
        <v>1</v>
      </c>
      <c r="BS35" s="3">
        <v>1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>
        <v>1</v>
      </c>
      <c r="BZ35" s="3">
        <f t="shared" si="4"/>
        <v>9</v>
      </c>
      <c r="CA35" s="3">
        <v>1</v>
      </c>
      <c r="CB35" s="3">
        <v>1</v>
      </c>
      <c r="CC35" s="3">
        <v>1</v>
      </c>
      <c r="CD35" s="3">
        <v>1</v>
      </c>
      <c r="CE35" s="3">
        <v>1</v>
      </c>
      <c r="CF35" s="3">
        <v>1</v>
      </c>
      <c r="CG35" s="3">
        <v>1</v>
      </c>
      <c r="CH35" s="3">
        <v>1</v>
      </c>
      <c r="CI35" s="3">
        <v>1</v>
      </c>
      <c r="CJ35" s="3">
        <v>1</v>
      </c>
      <c r="CK35" s="3">
        <v>1</v>
      </c>
      <c r="CL35" s="3">
        <v>1</v>
      </c>
      <c r="CM35" s="3">
        <f t="shared" si="5"/>
        <v>12</v>
      </c>
    </row>
    <row r="36" spans="1:91" ht="18" x14ac:dyDescent="0.35">
      <c r="A36" s="2">
        <v>31</v>
      </c>
      <c r="B36" s="16" t="s">
        <v>96</v>
      </c>
      <c r="C36" s="20" t="s">
        <v>97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8">
        <f t="shared" si="0"/>
        <v>15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8">
        <f t="shared" si="1"/>
        <v>12</v>
      </c>
      <c r="AG36" s="3">
        <v>1</v>
      </c>
      <c r="AH36" s="3">
        <v>1</v>
      </c>
      <c r="AI36" s="3">
        <v>1</v>
      </c>
      <c r="AJ36" s="3">
        <v>1</v>
      </c>
      <c r="AK36" s="3">
        <v>1</v>
      </c>
      <c r="AL36" s="3">
        <v>1</v>
      </c>
      <c r="AM36" s="3">
        <v>1</v>
      </c>
      <c r="AN36" s="3">
        <v>1</v>
      </c>
      <c r="AO36" s="3">
        <v>1</v>
      </c>
      <c r="AP36" s="3">
        <v>1</v>
      </c>
      <c r="AQ36" s="3">
        <v>1</v>
      </c>
      <c r="AR36" s="8">
        <f t="shared" si="6"/>
        <v>11</v>
      </c>
      <c r="AS36" s="3">
        <v>1</v>
      </c>
      <c r="AT36" s="3">
        <v>1</v>
      </c>
      <c r="AU36" s="3">
        <v>1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3">
        <v>1</v>
      </c>
      <c r="BD36" s="3">
        <f t="shared" si="2"/>
        <v>11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3">
        <v>1</v>
      </c>
      <c r="BN36" s="3">
        <v>1</v>
      </c>
      <c r="BO36" s="3">
        <v>1</v>
      </c>
      <c r="BP36" s="3">
        <f t="shared" si="3"/>
        <v>11</v>
      </c>
      <c r="BQ36" s="3">
        <v>1</v>
      </c>
      <c r="BR36" s="3">
        <v>1</v>
      </c>
      <c r="BS36" s="3">
        <v>1</v>
      </c>
      <c r="BT36" s="3">
        <v>1</v>
      </c>
      <c r="BU36" s="3">
        <v>1</v>
      </c>
      <c r="BV36" s="3">
        <v>1</v>
      </c>
      <c r="BW36" s="3">
        <v>1</v>
      </c>
      <c r="BX36" s="3">
        <v>1</v>
      </c>
      <c r="BY36" s="3">
        <v>1</v>
      </c>
      <c r="BZ36" s="3">
        <f t="shared" si="4"/>
        <v>9</v>
      </c>
      <c r="CA36" s="3">
        <v>1</v>
      </c>
      <c r="CB36" s="3">
        <v>1</v>
      </c>
      <c r="CC36" s="3">
        <v>1</v>
      </c>
      <c r="CD36" s="3">
        <v>1</v>
      </c>
      <c r="CE36" s="3">
        <v>1</v>
      </c>
      <c r="CF36" s="3">
        <v>1</v>
      </c>
      <c r="CG36" s="3">
        <v>1</v>
      </c>
      <c r="CH36" s="3">
        <v>1</v>
      </c>
      <c r="CI36" s="3">
        <v>1</v>
      </c>
      <c r="CJ36" s="3">
        <v>1</v>
      </c>
      <c r="CK36" s="3">
        <v>1</v>
      </c>
      <c r="CL36" s="3">
        <v>1</v>
      </c>
      <c r="CM36" s="3">
        <f t="shared" si="5"/>
        <v>12</v>
      </c>
    </row>
    <row r="37" spans="1:91" ht="18" x14ac:dyDescent="0.35">
      <c r="A37" s="2">
        <v>32</v>
      </c>
      <c r="B37" s="16" t="s">
        <v>98</v>
      </c>
      <c r="C37" s="20" t="s">
        <v>99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8">
        <f t="shared" ref="S37:S68" si="7">SUM(D37:R37)</f>
        <v>15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8">
        <f t="shared" ref="AF37:AF68" si="8">SUM(T37:AE37)</f>
        <v>12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1</v>
      </c>
      <c r="AN37" s="3">
        <v>1</v>
      </c>
      <c r="AO37" s="3">
        <v>1</v>
      </c>
      <c r="AP37" s="3">
        <v>1</v>
      </c>
      <c r="AQ37" s="3">
        <v>1</v>
      </c>
      <c r="AR37" s="8">
        <f t="shared" si="6"/>
        <v>11</v>
      </c>
      <c r="AS37" s="3">
        <v>1</v>
      </c>
      <c r="AT37" s="3">
        <v>1</v>
      </c>
      <c r="AU37" s="3">
        <v>1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f t="shared" ref="BD37:BD68" si="9">SUM(AS37:BC37)</f>
        <v>11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L37" s="3">
        <v>1</v>
      </c>
      <c r="BM37" s="3">
        <v>1</v>
      </c>
      <c r="BN37" s="3">
        <v>1</v>
      </c>
      <c r="BO37" s="3">
        <v>1</v>
      </c>
      <c r="BP37" s="3">
        <f t="shared" ref="BP37:BP68" si="10">SUM(BE37:BO37)</f>
        <v>11</v>
      </c>
      <c r="BQ37" s="3">
        <v>1</v>
      </c>
      <c r="BR37" s="3">
        <v>1</v>
      </c>
      <c r="BS37" s="3">
        <v>1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>
        <v>1</v>
      </c>
      <c r="BZ37" s="3">
        <f t="shared" ref="BZ37:BZ68" si="11">SUM(BQ37:BY37)</f>
        <v>9</v>
      </c>
      <c r="CA37" s="3">
        <v>1</v>
      </c>
      <c r="CB37" s="3">
        <v>1</v>
      </c>
      <c r="CC37" s="3">
        <v>1</v>
      </c>
      <c r="CD37" s="3">
        <v>1</v>
      </c>
      <c r="CE37" s="3">
        <v>1</v>
      </c>
      <c r="CF37" s="3">
        <v>1</v>
      </c>
      <c r="CG37" s="3">
        <v>1</v>
      </c>
      <c r="CH37" s="3">
        <v>1</v>
      </c>
      <c r="CI37" s="3">
        <v>1</v>
      </c>
      <c r="CJ37" s="3">
        <v>1</v>
      </c>
      <c r="CK37" s="3">
        <v>1</v>
      </c>
      <c r="CL37" s="3">
        <v>1</v>
      </c>
      <c r="CM37" s="3">
        <f t="shared" ref="CM37:CM68" si="12">SUM(CA37:CL37)</f>
        <v>12</v>
      </c>
    </row>
    <row r="38" spans="1:91" ht="18" x14ac:dyDescent="0.35">
      <c r="A38" s="2">
        <v>33</v>
      </c>
      <c r="B38" s="16" t="s">
        <v>100</v>
      </c>
      <c r="C38" s="20" t="s">
        <v>101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8">
        <f t="shared" si="7"/>
        <v>15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8">
        <f t="shared" si="8"/>
        <v>12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1</v>
      </c>
      <c r="AN38" s="3">
        <v>1</v>
      </c>
      <c r="AO38" s="3">
        <v>1</v>
      </c>
      <c r="AP38" s="3">
        <v>1</v>
      </c>
      <c r="AQ38" s="3">
        <v>1</v>
      </c>
      <c r="AR38" s="8">
        <f t="shared" si="6"/>
        <v>11</v>
      </c>
      <c r="AS38" s="3">
        <v>1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f t="shared" si="9"/>
        <v>11</v>
      </c>
      <c r="BE38" s="3">
        <v>1</v>
      </c>
      <c r="BF38" s="3">
        <v>1</v>
      </c>
      <c r="BG38" s="3">
        <v>1</v>
      </c>
      <c r="BH38" s="3">
        <v>1</v>
      </c>
      <c r="BI38" s="3">
        <v>1</v>
      </c>
      <c r="BJ38" s="3">
        <v>1</v>
      </c>
      <c r="BK38" s="3">
        <v>1</v>
      </c>
      <c r="BL38" s="3">
        <v>1</v>
      </c>
      <c r="BM38" s="3">
        <v>1</v>
      </c>
      <c r="BN38" s="3">
        <v>1</v>
      </c>
      <c r="BO38" s="3">
        <v>1</v>
      </c>
      <c r="BP38" s="3">
        <f t="shared" si="10"/>
        <v>11</v>
      </c>
      <c r="BQ38" s="3">
        <v>1</v>
      </c>
      <c r="BR38" s="3">
        <v>1</v>
      </c>
      <c r="BS38" s="3">
        <v>1</v>
      </c>
      <c r="BT38" s="3">
        <v>1</v>
      </c>
      <c r="BU38" s="3">
        <v>1</v>
      </c>
      <c r="BV38" s="3">
        <v>1</v>
      </c>
      <c r="BW38" s="3">
        <v>1</v>
      </c>
      <c r="BX38" s="3">
        <v>1</v>
      </c>
      <c r="BY38" s="3">
        <v>1</v>
      </c>
      <c r="BZ38" s="3">
        <f t="shared" si="11"/>
        <v>9</v>
      </c>
      <c r="CA38" s="3">
        <v>1</v>
      </c>
      <c r="CB38" s="3">
        <v>1</v>
      </c>
      <c r="CC38" s="3">
        <v>1</v>
      </c>
      <c r="CD38" s="3">
        <v>1</v>
      </c>
      <c r="CE38" s="3">
        <v>1</v>
      </c>
      <c r="CF38" s="3">
        <v>1</v>
      </c>
      <c r="CG38" s="3">
        <v>1</v>
      </c>
      <c r="CH38" s="3">
        <v>1</v>
      </c>
      <c r="CI38" s="3">
        <v>1</v>
      </c>
      <c r="CJ38" s="3">
        <v>1</v>
      </c>
      <c r="CK38" s="3">
        <v>1</v>
      </c>
      <c r="CL38" s="3">
        <v>1</v>
      </c>
      <c r="CM38" s="3">
        <f t="shared" si="12"/>
        <v>12</v>
      </c>
    </row>
    <row r="39" spans="1:91" ht="18" x14ac:dyDescent="0.35">
      <c r="A39" s="2">
        <v>34</v>
      </c>
      <c r="B39" s="16" t="s">
        <v>102</v>
      </c>
      <c r="C39" s="20" t="s">
        <v>103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8">
        <f t="shared" si="7"/>
        <v>15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1</v>
      </c>
      <c r="AE39" s="3">
        <v>1</v>
      </c>
      <c r="AF39" s="8">
        <f t="shared" si="8"/>
        <v>12</v>
      </c>
      <c r="AG39" s="3">
        <v>1</v>
      </c>
      <c r="AH39" s="3">
        <v>1</v>
      </c>
      <c r="AI39" s="3">
        <v>1</v>
      </c>
      <c r="AJ39" s="3">
        <v>1</v>
      </c>
      <c r="AK39" s="3">
        <v>1</v>
      </c>
      <c r="AL39" s="3">
        <v>1</v>
      </c>
      <c r="AM39" s="3">
        <v>1</v>
      </c>
      <c r="AN39" s="3">
        <v>1</v>
      </c>
      <c r="AO39" s="3">
        <v>1</v>
      </c>
      <c r="AP39" s="3">
        <v>1</v>
      </c>
      <c r="AQ39" s="3">
        <v>1</v>
      </c>
      <c r="AR39" s="8">
        <f t="shared" si="6"/>
        <v>11</v>
      </c>
      <c r="AS39" s="3">
        <v>1</v>
      </c>
      <c r="AT39" s="3">
        <v>1</v>
      </c>
      <c r="AU39" s="3">
        <v>1</v>
      </c>
      <c r="AV39" s="3">
        <v>1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3">
        <v>1</v>
      </c>
      <c r="BD39" s="3">
        <f t="shared" si="9"/>
        <v>11</v>
      </c>
      <c r="BE39" s="3">
        <v>1</v>
      </c>
      <c r="BF39" s="3">
        <v>1</v>
      </c>
      <c r="BG39" s="3">
        <v>1</v>
      </c>
      <c r="BH39" s="3">
        <v>1</v>
      </c>
      <c r="BI39" s="3">
        <v>1</v>
      </c>
      <c r="BJ39" s="3">
        <v>1</v>
      </c>
      <c r="BK39" s="3">
        <v>1</v>
      </c>
      <c r="BL39" s="3">
        <v>1</v>
      </c>
      <c r="BM39" s="3">
        <v>1</v>
      </c>
      <c r="BN39" s="3">
        <v>1</v>
      </c>
      <c r="BO39" s="3">
        <v>1</v>
      </c>
      <c r="BP39" s="3">
        <f t="shared" si="10"/>
        <v>11</v>
      </c>
      <c r="BQ39" s="3">
        <v>1</v>
      </c>
      <c r="BR39" s="3">
        <v>1</v>
      </c>
      <c r="BS39" s="3">
        <v>1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>
        <v>1</v>
      </c>
      <c r="BZ39" s="3">
        <f t="shared" si="11"/>
        <v>9</v>
      </c>
      <c r="CA39" s="3">
        <v>1</v>
      </c>
      <c r="CB39" s="3">
        <v>1</v>
      </c>
      <c r="CC39" s="3">
        <v>1</v>
      </c>
      <c r="CD39" s="3">
        <v>1</v>
      </c>
      <c r="CE39" s="3">
        <v>1</v>
      </c>
      <c r="CF39" s="3">
        <v>1</v>
      </c>
      <c r="CG39" s="3">
        <v>1</v>
      </c>
      <c r="CH39" s="3">
        <v>1</v>
      </c>
      <c r="CI39" s="3">
        <v>1</v>
      </c>
      <c r="CJ39" s="3">
        <v>1</v>
      </c>
      <c r="CK39" s="3">
        <v>1</v>
      </c>
      <c r="CL39" s="3">
        <v>1</v>
      </c>
      <c r="CM39" s="3">
        <f t="shared" si="12"/>
        <v>12</v>
      </c>
    </row>
    <row r="40" spans="1:91" ht="18" x14ac:dyDescent="0.35">
      <c r="A40" s="2">
        <v>35</v>
      </c>
      <c r="B40" s="16" t="s">
        <v>104</v>
      </c>
      <c r="C40" s="20" t="s">
        <v>105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8">
        <f t="shared" si="7"/>
        <v>15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  <c r="AF40" s="8">
        <f t="shared" si="8"/>
        <v>12</v>
      </c>
      <c r="AG40" s="3">
        <v>1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Q40" s="3">
        <v>1</v>
      </c>
      <c r="AR40" s="8">
        <f t="shared" si="6"/>
        <v>11</v>
      </c>
      <c r="AS40" s="3">
        <v>1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  <c r="BD40" s="3">
        <f t="shared" si="9"/>
        <v>11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L40" s="3">
        <v>1</v>
      </c>
      <c r="BM40" s="3">
        <v>1</v>
      </c>
      <c r="BN40" s="3">
        <v>1</v>
      </c>
      <c r="BO40" s="3">
        <v>1</v>
      </c>
      <c r="BP40" s="3">
        <f t="shared" si="10"/>
        <v>11</v>
      </c>
      <c r="BQ40" s="3">
        <v>1</v>
      </c>
      <c r="BR40" s="3">
        <v>1</v>
      </c>
      <c r="BS40" s="3">
        <v>1</v>
      </c>
      <c r="BT40" s="3">
        <v>1</v>
      </c>
      <c r="BU40" s="3">
        <v>1</v>
      </c>
      <c r="BV40" s="3">
        <v>1</v>
      </c>
      <c r="BW40" s="3">
        <v>1</v>
      </c>
      <c r="BX40" s="3">
        <v>1</v>
      </c>
      <c r="BY40" s="3">
        <v>1</v>
      </c>
      <c r="BZ40" s="3">
        <f t="shared" si="11"/>
        <v>9</v>
      </c>
      <c r="CA40" s="3">
        <v>1</v>
      </c>
      <c r="CB40" s="3">
        <v>1</v>
      </c>
      <c r="CC40" s="3">
        <v>1</v>
      </c>
      <c r="CD40" s="3">
        <v>1</v>
      </c>
      <c r="CE40" s="3">
        <v>1</v>
      </c>
      <c r="CF40" s="3">
        <v>1</v>
      </c>
      <c r="CG40" s="3">
        <v>1</v>
      </c>
      <c r="CH40" s="3">
        <v>1</v>
      </c>
      <c r="CI40" s="3">
        <v>1</v>
      </c>
      <c r="CJ40" s="3">
        <v>1</v>
      </c>
      <c r="CK40" s="3">
        <v>1</v>
      </c>
      <c r="CL40" s="3">
        <v>1</v>
      </c>
      <c r="CM40" s="3">
        <f t="shared" si="12"/>
        <v>12</v>
      </c>
    </row>
    <row r="41" spans="1:91" ht="18" x14ac:dyDescent="0.35">
      <c r="A41" s="2">
        <v>36</v>
      </c>
      <c r="B41" s="16" t="s">
        <v>106</v>
      </c>
      <c r="C41" s="20" t="s">
        <v>107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8">
        <f t="shared" si="7"/>
        <v>15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">
        <v>1</v>
      </c>
      <c r="AE41" s="3">
        <v>1</v>
      </c>
      <c r="AF41" s="8">
        <f t="shared" si="8"/>
        <v>12</v>
      </c>
      <c r="AG41" s="3">
        <v>1</v>
      </c>
      <c r="AH41" s="3">
        <v>1</v>
      </c>
      <c r="AI41" s="3">
        <v>1</v>
      </c>
      <c r="AJ41" s="3">
        <v>1</v>
      </c>
      <c r="AK41" s="3">
        <v>1</v>
      </c>
      <c r="AL41" s="3">
        <v>1</v>
      </c>
      <c r="AM41" s="3">
        <v>1</v>
      </c>
      <c r="AN41" s="3">
        <v>1</v>
      </c>
      <c r="AO41" s="3">
        <v>1</v>
      </c>
      <c r="AP41" s="3">
        <v>1</v>
      </c>
      <c r="AQ41" s="3">
        <v>1</v>
      </c>
      <c r="AR41" s="8">
        <f t="shared" si="6"/>
        <v>11</v>
      </c>
      <c r="AS41" s="3">
        <v>1</v>
      </c>
      <c r="AT41" s="3">
        <v>1</v>
      </c>
      <c r="AU41" s="3">
        <v>1</v>
      </c>
      <c r="AV41" s="3">
        <v>1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3">
        <v>1</v>
      </c>
      <c r="BD41" s="3">
        <f t="shared" si="9"/>
        <v>11</v>
      </c>
      <c r="BE41" s="3">
        <v>1</v>
      </c>
      <c r="BF41" s="3">
        <v>1</v>
      </c>
      <c r="BG41" s="3">
        <v>1</v>
      </c>
      <c r="BH41" s="3">
        <v>1</v>
      </c>
      <c r="BI41" s="3">
        <v>1</v>
      </c>
      <c r="BJ41" s="3">
        <v>1</v>
      </c>
      <c r="BK41" s="3">
        <v>1</v>
      </c>
      <c r="BL41" s="3">
        <v>1</v>
      </c>
      <c r="BM41" s="3">
        <v>1</v>
      </c>
      <c r="BN41" s="3">
        <v>1</v>
      </c>
      <c r="BO41" s="3">
        <v>1</v>
      </c>
      <c r="BP41" s="3">
        <f t="shared" si="10"/>
        <v>11</v>
      </c>
      <c r="BQ41" s="3">
        <v>1</v>
      </c>
      <c r="BR41" s="3">
        <v>1</v>
      </c>
      <c r="BS41" s="3">
        <v>1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>
        <v>1</v>
      </c>
      <c r="BZ41" s="3">
        <f t="shared" si="11"/>
        <v>9</v>
      </c>
      <c r="CA41" s="3">
        <v>1</v>
      </c>
      <c r="CB41" s="3">
        <v>1</v>
      </c>
      <c r="CC41" s="3">
        <v>1</v>
      </c>
      <c r="CD41" s="3">
        <v>1</v>
      </c>
      <c r="CE41" s="3">
        <v>1</v>
      </c>
      <c r="CF41" s="3">
        <v>1</v>
      </c>
      <c r="CG41" s="3">
        <v>1</v>
      </c>
      <c r="CH41" s="3">
        <v>1</v>
      </c>
      <c r="CI41" s="3">
        <v>1</v>
      </c>
      <c r="CJ41" s="3">
        <v>1</v>
      </c>
      <c r="CK41" s="3">
        <v>1</v>
      </c>
      <c r="CL41" s="3">
        <v>1</v>
      </c>
      <c r="CM41" s="3">
        <f t="shared" si="12"/>
        <v>12</v>
      </c>
    </row>
    <row r="42" spans="1:91" ht="18" x14ac:dyDescent="0.35">
      <c r="A42" s="2">
        <v>37</v>
      </c>
      <c r="B42" s="16" t="s">
        <v>108</v>
      </c>
      <c r="C42" s="20" t="s">
        <v>109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8">
        <f t="shared" si="7"/>
        <v>15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">
        <v>1</v>
      </c>
      <c r="AF42" s="8">
        <f t="shared" si="8"/>
        <v>12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8">
        <f t="shared" si="6"/>
        <v>11</v>
      </c>
      <c r="AS42" s="3">
        <v>1</v>
      </c>
      <c r="AT42" s="3">
        <v>1</v>
      </c>
      <c r="AU42" s="3">
        <v>1</v>
      </c>
      <c r="AV42" s="3">
        <v>1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 s="3">
        <v>1</v>
      </c>
      <c r="BD42" s="3">
        <f t="shared" si="9"/>
        <v>11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3">
        <v>1</v>
      </c>
      <c r="BK42" s="3">
        <v>1</v>
      </c>
      <c r="BL42" s="3">
        <v>1</v>
      </c>
      <c r="BM42" s="3">
        <v>1</v>
      </c>
      <c r="BN42" s="3">
        <v>1</v>
      </c>
      <c r="BO42" s="3">
        <v>1</v>
      </c>
      <c r="BP42" s="3">
        <f t="shared" si="10"/>
        <v>11</v>
      </c>
      <c r="BQ42" s="3">
        <v>1</v>
      </c>
      <c r="BR42" s="3">
        <v>1</v>
      </c>
      <c r="BS42" s="3">
        <v>1</v>
      </c>
      <c r="BT42" s="3">
        <v>1</v>
      </c>
      <c r="BU42" s="3">
        <v>1</v>
      </c>
      <c r="BV42" s="3">
        <v>1</v>
      </c>
      <c r="BW42" s="3">
        <v>1</v>
      </c>
      <c r="BX42" s="3">
        <v>1</v>
      </c>
      <c r="BY42" s="3">
        <v>1</v>
      </c>
      <c r="BZ42" s="3">
        <f t="shared" si="11"/>
        <v>9</v>
      </c>
      <c r="CA42" s="3">
        <v>1</v>
      </c>
      <c r="CB42" s="3">
        <v>1</v>
      </c>
      <c r="CC42" s="3">
        <v>1</v>
      </c>
      <c r="CD42" s="3">
        <v>1</v>
      </c>
      <c r="CE42" s="3">
        <v>1</v>
      </c>
      <c r="CF42" s="3">
        <v>1</v>
      </c>
      <c r="CG42" s="3">
        <v>1</v>
      </c>
      <c r="CH42" s="3">
        <v>1</v>
      </c>
      <c r="CI42" s="3">
        <v>1</v>
      </c>
      <c r="CJ42" s="3">
        <v>1</v>
      </c>
      <c r="CK42" s="3">
        <v>1</v>
      </c>
      <c r="CL42" s="3">
        <v>1</v>
      </c>
      <c r="CM42" s="3">
        <f t="shared" si="12"/>
        <v>12</v>
      </c>
    </row>
    <row r="43" spans="1:91" ht="18" x14ac:dyDescent="0.35">
      <c r="A43" s="2">
        <v>38</v>
      </c>
      <c r="B43" s="16" t="s">
        <v>110</v>
      </c>
      <c r="C43" s="20" t="s">
        <v>111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8">
        <f t="shared" si="7"/>
        <v>15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1</v>
      </c>
      <c r="AE43" s="3">
        <v>1</v>
      </c>
      <c r="AF43" s="8">
        <f t="shared" si="8"/>
        <v>12</v>
      </c>
      <c r="AG43" s="3">
        <v>1</v>
      </c>
      <c r="AH43" s="3">
        <v>1</v>
      </c>
      <c r="AI43" s="3">
        <v>1</v>
      </c>
      <c r="AJ43" s="3">
        <v>1</v>
      </c>
      <c r="AK43" s="3">
        <v>1</v>
      </c>
      <c r="AL43" s="3">
        <v>1</v>
      </c>
      <c r="AM43" s="3">
        <v>1</v>
      </c>
      <c r="AN43" s="3">
        <v>1</v>
      </c>
      <c r="AO43" s="3">
        <v>1</v>
      </c>
      <c r="AP43" s="3">
        <v>1</v>
      </c>
      <c r="AQ43" s="3">
        <v>1</v>
      </c>
      <c r="AR43" s="8">
        <f t="shared" si="6"/>
        <v>11</v>
      </c>
      <c r="AS43" s="3">
        <v>1</v>
      </c>
      <c r="AT43" s="3">
        <v>1</v>
      </c>
      <c r="AU43" s="3">
        <v>1</v>
      </c>
      <c r="AV43" s="3">
        <v>1</v>
      </c>
      <c r="AW43" s="3">
        <v>1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 s="3">
        <v>1</v>
      </c>
      <c r="BD43" s="3">
        <f t="shared" si="9"/>
        <v>11</v>
      </c>
      <c r="BE43" s="3">
        <v>1</v>
      </c>
      <c r="BF43" s="3">
        <v>1</v>
      </c>
      <c r="BG43" s="3">
        <v>1</v>
      </c>
      <c r="BH43" s="3">
        <v>1</v>
      </c>
      <c r="BI43" s="3">
        <v>1</v>
      </c>
      <c r="BJ43" s="3">
        <v>1</v>
      </c>
      <c r="BK43" s="3">
        <v>1</v>
      </c>
      <c r="BL43" s="3">
        <v>1</v>
      </c>
      <c r="BM43" s="3">
        <v>1</v>
      </c>
      <c r="BN43" s="3">
        <v>1</v>
      </c>
      <c r="BO43" s="3">
        <v>1</v>
      </c>
      <c r="BP43" s="3">
        <f t="shared" si="10"/>
        <v>11</v>
      </c>
      <c r="BQ43" s="3">
        <v>1</v>
      </c>
      <c r="BR43" s="3">
        <v>1</v>
      </c>
      <c r="BS43" s="3">
        <v>1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>
        <v>1</v>
      </c>
      <c r="BZ43" s="3">
        <f t="shared" si="11"/>
        <v>9</v>
      </c>
      <c r="CA43" s="3">
        <v>1</v>
      </c>
      <c r="CB43" s="3">
        <v>1</v>
      </c>
      <c r="CC43" s="3">
        <v>1</v>
      </c>
      <c r="CD43" s="3">
        <v>1</v>
      </c>
      <c r="CE43" s="3">
        <v>1</v>
      </c>
      <c r="CF43" s="3">
        <v>1</v>
      </c>
      <c r="CG43" s="3">
        <v>1</v>
      </c>
      <c r="CH43" s="3">
        <v>1</v>
      </c>
      <c r="CI43" s="3">
        <v>1</v>
      </c>
      <c r="CJ43" s="3">
        <v>1</v>
      </c>
      <c r="CK43" s="3">
        <v>1</v>
      </c>
      <c r="CL43" s="3">
        <v>1</v>
      </c>
      <c r="CM43" s="3">
        <f t="shared" si="12"/>
        <v>12</v>
      </c>
    </row>
    <row r="44" spans="1:91" ht="18" x14ac:dyDescent="0.35">
      <c r="A44" s="2">
        <v>39</v>
      </c>
      <c r="B44" s="16" t="s">
        <v>112</v>
      </c>
      <c r="C44" s="20" t="s">
        <v>113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8">
        <f t="shared" si="7"/>
        <v>15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8">
        <f t="shared" si="8"/>
        <v>12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8">
        <f t="shared" si="6"/>
        <v>11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f t="shared" si="9"/>
        <v>11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3">
        <v>1</v>
      </c>
      <c r="BM44" s="3">
        <v>1</v>
      </c>
      <c r="BN44" s="3">
        <v>1</v>
      </c>
      <c r="BO44" s="3">
        <v>1</v>
      </c>
      <c r="BP44" s="3">
        <f t="shared" si="10"/>
        <v>11</v>
      </c>
      <c r="BQ44" s="3">
        <v>1</v>
      </c>
      <c r="BR44" s="3">
        <v>1</v>
      </c>
      <c r="BS44" s="3">
        <v>1</v>
      </c>
      <c r="BT44" s="3">
        <v>1</v>
      </c>
      <c r="BU44" s="3">
        <v>1</v>
      </c>
      <c r="BV44" s="3">
        <v>1</v>
      </c>
      <c r="BW44" s="3">
        <v>1</v>
      </c>
      <c r="BX44" s="3">
        <v>1</v>
      </c>
      <c r="BY44" s="3">
        <v>1</v>
      </c>
      <c r="BZ44" s="3">
        <f t="shared" si="11"/>
        <v>9</v>
      </c>
      <c r="CA44" s="3">
        <v>1</v>
      </c>
      <c r="CB44" s="3">
        <v>1</v>
      </c>
      <c r="CC44" s="3">
        <v>1</v>
      </c>
      <c r="CD44" s="3">
        <v>1</v>
      </c>
      <c r="CE44" s="3">
        <v>1</v>
      </c>
      <c r="CF44" s="3">
        <v>1</v>
      </c>
      <c r="CG44" s="3">
        <v>1</v>
      </c>
      <c r="CH44" s="3">
        <v>1</v>
      </c>
      <c r="CI44" s="3">
        <v>1</v>
      </c>
      <c r="CJ44" s="3">
        <v>1</v>
      </c>
      <c r="CK44" s="3">
        <v>1</v>
      </c>
      <c r="CL44" s="3">
        <v>1</v>
      </c>
      <c r="CM44" s="3">
        <f t="shared" si="12"/>
        <v>12</v>
      </c>
    </row>
    <row r="45" spans="1:91" ht="18" x14ac:dyDescent="0.35">
      <c r="A45" s="2">
        <v>40</v>
      </c>
      <c r="B45" s="16" t="s">
        <v>114</v>
      </c>
      <c r="C45" s="20" t="s">
        <v>115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8">
        <f t="shared" si="7"/>
        <v>15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8">
        <f t="shared" si="8"/>
        <v>12</v>
      </c>
      <c r="AG45" s="3">
        <v>1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  <c r="AN45" s="3">
        <v>1</v>
      </c>
      <c r="AO45" s="3">
        <v>1</v>
      </c>
      <c r="AP45" s="3">
        <v>1</v>
      </c>
      <c r="AQ45" s="3">
        <v>1</v>
      </c>
      <c r="AR45" s="8">
        <f t="shared" si="6"/>
        <v>11</v>
      </c>
      <c r="AS45" s="3">
        <v>1</v>
      </c>
      <c r="AT45" s="3">
        <v>1</v>
      </c>
      <c r="AU45" s="3">
        <v>1</v>
      </c>
      <c r="AV45" s="3">
        <v>1</v>
      </c>
      <c r="AW45" s="3">
        <v>1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 s="3">
        <v>1</v>
      </c>
      <c r="BD45" s="3">
        <f t="shared" si="9"/>
        <v>11</v>
      </c>
      <c r="BE45" s="3">
        <v>1</v>
      </c>
      <c r="BF45" s="3">
        <v>1</v>
      </c>
      <c r="BG45" s="3">
        <v>1</v>
      </c>
      <c r="BH45" s="3">
        <v>1</v>
      </c>
      <c r="BI45" s="3">
        <v>1</v>
      </c>
      <c r="BJ45" s="3">
        <v>1</v>
      </c>
      <c r="BK45" s="3">
        <v>1</v>
      </c>
      <c r="BL45" s="3">
        <v>1</v>
      </c>
      <c r="BM45" s="3">
        <v>1</v>
      </c>
      <c r="BN45" s="3">
        <v>1</v>
      </c>
      <c r="BO45" s="3">
        <v>1</v>
      </c>
      <c r="BP45" s="3">
        <f t="shared" si="10"/>
        <v>11</v>
      </c>
      <c r="BQ45" s="3">
        <v>1</v>
      </c>
      <c r="BR45" s="3">
        <v>1</v>
      </c>
      <c r="BS45" s="3">
        <v>1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>
        <v>1</v>
      </c>
      <c r="BZ45" s="3">
        <f t="shared" si="11"/>
        <v>9</v>
      </c>
      <c r="CA45" s="3">
        <v>1</v>
      </c>
      <c r="CB45" s="3">
        <v>1</v>
      </c>
      <c r="CC45" s="3">
        <v>1</v>
      </c>
      <c r="CD45" s="3">
        <v>1</v>
      </c>
      <c r="CE45" s="3">
        <v>1</v>
      </c>
      <c r="CF45" s="3">
        <v>1</v>
      </c>
      <c r="CG45" s="3">
        <v>1</v>
      </c>
      <c r="CH45" s="3">
        <v>1</v>
      </c>
      <c r="CI45" s="3">
        <v>1</v>
      </c>
      <c r="CJ45" s="3">
        <v>1</v>
      </c>
      <c r="CK45" s="3">
        <v>1</v>
      </c>
      <c r="CL45" s="3">
        <v>1</v>
      </c>
      <c r="CM45" s="3">
        <f t="shared" si="12"/>
        <v>12</v>
      </c>
    </row>
    <row r="46" spans="1:91" ht="18" x14ac:dyDescent="0.35">
      <c r="A46" s="2">
        <v>41</v>
      </c>
      <c r="B46" s="16" t="s">
        <v>116</v>
      </c>
      <c r="C46" s="20" t="s">
        <v>117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8">
        <f t="shared" si="7"/>
        <v>15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8">
        <f t="shared" si="8"/>
        <v>12</v>
      </c>
      <c r="AG46" s="3">
        <v>1</v>
      </c>
      <c r="AH46" s="3">
        <v>1</v>
      </c>
      <c r="AI46" s="3">
        <v>1</v>
      </c>
      <c r="AJ46" s="3">
        <v>1</v>
      </c>
      <c r="AK46" s="3">
        <v>1</v>
      </c>
      <c r="AL46" s="3">
        <v>1</v>
      </c>
      <c r="AM46" s="3">
        <v>1</v>
      </c>
      <c r="AN46" s="3">
        <v>1</v>
      </c>
      <c r="AO46" s="3">
        <v>1</v>
      </c>
      <c r="AP46" s="3">
        <v>1</v>
      </c>
      <c r="AQ46" s="3">
        <v>1</v>
      </c>
      <c r="AR46" s="8">
        <f t="shared" si="6"/>
        <v>11</v>
      </c>
      <c r="AS46" s="3">
        <v>1</v>
      </c>
      <c r="AT46" s="3">
        <v>1</v>
      </c>
      <c r="AU46" s="3">
        <v>1</v>
      </c>
      <c r="AV46" s="3">
        <v>1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f t="shared" si="9"/>
        <v>11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3">
        <v>1</v>
      </c>
      <c r="BM46" s="3">
        <v>1</v>
      </c>
      <c r="BN46" s="3">
        <v>1</v>
      </c>
      <c r="BO46" s="3">
        <v>1</v>
      </c>
      <c r="BP46" s="3">
        <f t="shared" si="10"/>
        <v>11</v>
      </c>
      <c r="BQ46" s="3">
        <v>1</v>
      </c>
      <c r="BR46" s="3">
        <v>1</v>
      </c>
      <c r="BS46" s="3">
        <v>1</v>
      </c>
      <c r="BT46" s="3">
        <v>1</v>
      </c>
      <c r="BU46" s="3">
        <v>1</v>
      </c>
      <c r="BV46" s="3">
        <v>1</v>
      </c>
      <c r="BW46" s="3">
        <v>1</v>
      </c>
      <c r="BX46" s="3">
        <v>1</v>
      </c>
      <c r="BY46" s="3">
        <v>1</v>
      </c>
      <c r="BZ46" s="3">
        <f t="shared" si="11"/>
        <v>9</v>
      </c>
      <c r="CA46" s="3">
        <v>1</v>
      </c>
      <c r="CB46" s="3">
        <v>1</v>
      </c>
      <c r="CC46" s="3">
        <v>1</v>
      </c>
      <c r="CD46" s="3">
        <v>1</v>
      </c>
      <c r="CE46" s="3">
        <v>1</v>
      </c>
      <c r="CF46" s="3">
        <v>1</v>
      </c>
      <c r="CG46" s="3">
        <v>1</v>
      </c>
      <c r="CH46" s="3">
        <v>1</v>
      </c>
      <c r="CI46" s="3">
        <v>1</v>
      </c>
      <c r="CJ46" s="3">
        <v>1</v>
      </c>
      <c r="CK46" s="3">
        <v>1</v>
      </c>
      <c r="CL46" s="3">
        <v>1</v>
      </c>
      <c r="CM46" s="3">
        <f t="shared" si="12"/>
        <v>12</v>
      </c>
    </row>
    <row r="47" spans="1:91" ht="18" x14ac:dyDescent="0.35">
      <c r="A47" s="2">
        <v>42</v>
      </c>
      <c r="B47" s="16" t="s">
        <v>118</v>
      </c>
      <c r="C47" s="20" t="s">
        <v>119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8">
        <f t="shared" si="7"/>
        <v>15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8">
        <f t="shared" si="8"/>
        <v>12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3">
        <v>1</v>
      </c>
      <c r="AN47" s="3">
        <v>1</v>
      </c>
      <c r="AO47" s="3">
        <v>1</v>
      </c>
      <c r="AP47" s="3">
        <v>1</v>
      </c>
      <c r="AQ47" s="3">
        <v>1</v>
      </c>
      <c r="AR47" s="8">
        <f t="shared" si="6"/>
        <v>11</v>
      </c>
      <c r="AS47" s="3">
        <v>1</v>
      </c>
      <c r="AT47" s="3">
        <v>1</v>
      </c>
      <c r="AU47" s="3">
        <v>1</v>
      </c>
      <c r="AV47" s="3">
        <v>1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3">
        <v>1</v>
      </c>
      <c r="BD47" s="3">
        <f t="shared" si="9"/>
        <v>11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1</v>
      </c>
      <c r="BK47" s="3">
        <v>1</v>
      </c>
      <c r="BL47" s="3">
        <v>1</v>
      </c>
      <c r="BM47" s="3">
        <v>1</v>
      </c>
      <c r="BN47" s="3">
        <v>1</v>
      </c>
      <c r="BO47" s="3">
        <v>1</v>
      </c>
      <c r="BP47" s="3">
        <f t="shared" si="10"/>
        <v>11</v>
      </c>
      <c r="BQ47" s="3">
        <v>1</v>
      </c>
      <c r="BR47" s="3">
        <v>1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>
        <v>1</v>
      </c>
      <c r="BZ47" s="3">
        <f t="shared" si="11"/>
        <v>9</v>
      </c>
      <c r="CA47" s="3">
        <v>1</v>
      </c>
      <c r="CB47" s="3">
        <v>1</v>
      </c>
      <c r="CC47" s="3">
        <v>1</v>
      </c>
      <c r="CD47" s="3">
        <v>1</v>
      </c>
      <c r="CE47" s="3">
        <v>1</v>
      </c>
      <c r="CF47" s="3">
        <v>1</v>
      </c>
      <c r="CG47" s="3">
        <v>1</v>
      </c>
      <c r="CH47" s="3">
        <v>1</v>
      </c>
      <c r="CI47" s="3">
        <v>1</v>
      </c>
      <c r="CJ47" s="3">
        <v>1</v>
      </c>
      <c r="CK47" s="3">
        <v>1</v>
      </c>
      <c r="CL47" s="3">
        <v>1</v>
      </c>
      <c r="CM47" s="3">
        <f t="shared" si="12"/>
        <v>12</v>
      </c>
    </row>
    <row r="48" spans="1:91" ht="18" x14ac:dyDescent="0.35">
      <c r="A48" s="2">
        <v>43</v>
      </c>
      <c r="B48" s="16" t="s">
        <v>120</v>
      </c>
      <c r="C48" s="20" t="s">
        <v>121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8">
        <f t="shared" si="7"/>
        <v>15</v>
      </c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">
        <v>1</v>
      </c>
      <c r="AE48" s="3">
        <v>1</v>
      </c>
      <c r="AF48" s="8">
        <f t="shared" si="8"/>
        <v>12</v>
      </c>
      <c r="AG48" s="3">
        <v>1</v>
      </c>
      <c r="AH48" s="3">
        <v>1</v>
      </c>
      <c r="AI48" s="3">
        <v>1</v>
      </c>
      <c r="AJ48" s="3">
        <v>1</v>
      </c>
      <c r="AK48" s="3">
        <v>1</v>
      </c>
      <c r="AL48" s="3">
        <v>1</v>
      </c>
      <c r="AM48" s="3">
        <v>1</v>
      </c>
      <c r="AN48" s="3">
        <v>1</v>
      </c>
      <c r="AO48" s="3">
        <v>1</v>
      </c>
      <c r="AP48" s="3">
        <v>1</v>
      </c>
      <c r="AQ48" s="3">
        <v>1</v>
      </c>
      <c r="AR48" s="8">
        <f t="shared" si="6"/>
        <v>11</v>
      </c>
      <c r="AS48" s="3">
        <v>1</v>
      </c>
      <c r="AT48" s="3">
        <v>1</v>
      </c>
      <c r="AU48" s="3">
        <v>1</v>
      </c>
      <c r="AV48" s="3">
        <v>1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  <c r="BD48" s="3">
        <f t="shared" si="9"/>
        <v>11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3">
        <v>1</v>
      </c>
      <c r="BN48" s="3">
        <v>1</v>
      </c>
      <c r="BO48" s="3">
        <v>1</v>
      </c>
      <c r="BP48" s="3">
        <f t="shared" si="10"/>
        <v>11</v>
      </c>
      <c r="BQ48" s="3">
        <v>1</v>
      </c>
      <c r="BR48" s="3">
        <v>1</v>
      </c>
      <c r="BS48" s="3">
        <v>1</v>
      </c>
      <c r="BT48" s="3">
        <v>1</v>
      </c>
      <c r="BU48" s="3">
        <v>1</v>
      </c>
      <c r="BV48" s="3">
        <v>1</v>
      </c>
      <c r="BW48" s="3">
        <v>1</v>
      </c>
      <c r="BX48" s="3">
        <v>1</v>
      </c>
      <c r="BY48" s="3">
        <v>1</v>
      </c>
      <c r="BZ48" s="3">
        <f t="shared" si="11"/>
        <v>9</v>
      </c>
      <c r="CA48" s="3">
        <v>1</v>
      </c>
      <c r="CB48" s="3">
        <v>1</v>
      </c>
      <c r="CC48" s="3">
        <v>1</v>
      </c>
      <c r="CD48" s="3">
        <v>1</v>
      </c>
      <c r="CE48" s="3">
        <v>1</v>
      </c>
      <c r="CF48" s="3">
        <v>1</v>
      </c>
      <c r="CG48" s="3">
        <v>1</v>
      </c>
      <c r="CH48" s="3">
        <v>1</v>
      </c>
      <c r="CI48" s="3">
        <v>1</v>
      </c>
      <c r="CJ48" s="3">
        <v>1</v>
      </c>
      <c r="CK48" s="3">
        <v>1</v>
      </c>
      <c r="CL48" s="3">
        <v>1</v>
      </c>
      <c r="CM48" s="3">
        <f t="shared" si="12"/>
        <v>12</v>
      </c>
    </row>
    <row r="49" spans="1:91" ht="18" x14ac:dyDescent="0.35">
      <c r="A49" s="2">
        <v>44</v>
      </c>
      <c r="B49" s="16" t="s">
        <v>122</v>
      </c>
      <c r="C49" s="20" t="s">
        <v>123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8">
        <f t="shared" si="7"/>
        <v>15</v>
      </c>
      <c r="T49" s="3">
        <v>1</v>
      </c>
      <c r="U49" s="3">
        <v>1</v>
      </c>
      <c r="V49" s="3">
        <v>1</v>
      </c>
      <c r="W49" s="3">
        <v>1</v>
      </c>
      <c r="X49" s="3">
        <v>1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8">
        <f t="shared" si="8"/>
        <v>12</v>
      </c>
      <c r="AG49" s="3">
        <v>1</v>
      </c>
      <c r="AH49" s="3">
        <v>1</v>
      </c>
      <c r="AI49" s="3">
        <v>1</v>
      </c>
      <c r="AJ49" s="3">
        <v>1</v>
      </c>
      <c r="AK49" s="3">
        <v>1</v>
      </c>
      <c r="AL49" s="3">
        <v>1</v>
      </c>
      <c r="AM49" s="3">
        <v>1</v>
      </c>
      <c r="AN49" s="3">
        <v>1</v>
      </c>
      <c r="AO49" s="3">
        <v>1</v>
      </c>
      <c r="AP49" s="3">
        <v>1</v>
      </c>
      <c r="AQ49" s="3">
        <v>1</v>
      </c>
      <c r="AR49" s="8">
        <f t="shared" si="6"/>
        <v>11</v>
      </c>
      <c r="AS49" s="3">
        <v>1</v>
      </c>
      <c r="AT49" s="3">
        <v>1</v>
      </c>
      <c r="AU49" s="3">
        <v>1</v>
      </c>
      <c r="AV49" s="3">
        <v>1</v>
      </c>
      <c r="AW49" s="3">
        <v>1</v>
      </c>
      <c r="AX49" s="3">
        <v>1</v>
      </c>
      <c r="AY49" s="3">
        <v>1</v>
      </c>
      <c r="AZ49" s="3">
        <v>1</v>
      </c>
      <c r="BA49" s="3">
        <v>1</v>
      </c>
      <c r="BB49" s="3">
        <v>1</v>
      </c>
      <c r="BC49" s="3">
        <v>1</v>
      </c>
      <c r="BD49" s="3">
        <f t="shared" si="9"/>
        <v>11</v>
      </c>
      <c r="BE49" s="3">
        <v>1</v>
      </c>
      <c r="BF49" s="3">
        <v>1</v>
      </c>
      <c r="BG49" s="3">
        <v>1</v>
      </c>
      <c r="BH49" s="3">
        <v>1</v>
      </c>
      <c r="BI49" s="3">
        <v>1</v>
      </c>
      <c r="BJ49" s="3">
        <v>1</v>
      </c>
      <c r="BK49" s="3">
        <v>1</v>
      </c>
      <c r="BL49" s="3">
        <v>1</v>
      </c>
      <c r="BM49" s="3">
        <v>1</v>
      </c>
      <c r="BN49" s="3">
        <v>1</v>
      </c>
      <c r="BO49" s="3">
        <v>1</v>
      </c>
      <c r="BP49" s="3">
        <f t="shared" si="10"/>
        <v>11</v>
      </c>
      <c r="BQ49" s="3">
        <v>1</v>
      </c>
      <c r="BR49" s="3">
        <v>1</v>
      </c>
      <c r="BS49" s="3">
        <v>1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>
        <v>1</v>
      </c>
      <c r="BZ49" s="3">
        <f t="shared" si="11"/>
        <v>9</v>
      </c>
      <c r="CA49" s="3">
        <v>1</v>
      </c>
      <c r="CB49" s="3">
        <v>1</v>
      </c>
      <c r="CC49" s="3">
        <v>1</v>
      </c>
      <c r="CD49" s="3">
        <v>1</v>
      </c>
      <c r="CE49" s="3">
        <v>1</v>
      </c>
      <c r="CF49" s="3">
        <v>1</v>
      </c>
      <c r="CG49" s="3">
        <v>1</v>
      </c>
      <c r="CH49" s="3">
        <v>1</v>
      </c>
      <c r="CI49" s="3">
        <v>1</v>
      </c>
      <c r="CJ49" s="3">
        <v>1</v>
      </c>
      <c r="CK49" s="3">
        <v>1</v>
      </c>
      <c r="CL49" s="3">
        <v>1</v>
      </c>
      <c r="CM49" s="3">
        <f t="shared" si="12"/>
        <v>12</v>
      </c>
    </row>
    <row r="50" spans="1:91" ht="18" x14ac:dyDescent="0.35">
      <c r="A50" s="2">
        <v>45</v>
      </c>
      <c r="B50" s="16" t="s">
        <v>124</v>
      </c>
      <c r="C50" s="20" t="s">
        <v>125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8">
        <f t="shared" si="7"/>
        <v>15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8">
        <f t="shared" si="8"/>
        <v>12</v>
      </c>
      <c r="AG50" s="3">
        <v>1</v>
      </c>
      <c r="AH50" s="3">
        <v>1</v>
      </c>
      <c r="AI50" s="3">
        <v>1</v>
      </c>
      <c r="AJ50" s="3">
        <v>1</v>
      </c>
      <c r="AK50" s="3">
        <v>1</v>
      </c>
      <c r="AL50" s="3">
        <v>1</v>
      </c>
      <c r="AM50" s="3">
        <v>1</v>
      </c>
      <c r="AN50" s="3">
        <v>1</v>
      </c>
      <c r="AO50" s="3">
        <v>1</v>
      </c>
      <c r="AP50" s="3">
        <v>1</v>
      </c>
      <c r="AQ50" s="3">
        <v>1</v>
      </c>
      <c r="AR50" s="8">
        <f t="shared" si="6"/>
        <v>11</v>
      </c>
      <c r="AS50" s="3">
        <v>1</v>
      </c>
      <c r="AT50" s="3">
        <v>1</v>
      </c>
      <c r="AU50" s="3">
        <v>1</v>
      </c>
      <c r="AV50" s="3">
        <v>1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f t="shared" si="9"/>
        <v>11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3">
        <v>1</v>
      </c>
      <c r="BK50" s="3">
        <v>1</v>
      </c>
      <c r="BL50" s="3">
        <v>1</v>
      </c>
      <c r="BM50" s="3">
        <v>1</v>
      </c>
      <c r="BN50" s="3">
        <v>1</v>
      </c>
      <c r="BO50" s="3">
        <v>1</v>
      </c>
      <c r="BP50" s="3">
        <f t="shared" si="10"/>
        <v>11</v>
      </c>
      <c r="BQ50" s="3">
        <v>1</v>
      </c>
      <c r="BR50" s="3">
        <v>1</v>
      </c>
      <c r="BS50" s="3">
        <v>1</v>
      </c>
      <c r="BT50" s="3">
        <v>1</v>
      </c>
      <c r="BU50" s="3">
        <v>1</v>
      </c>
      <c r="BV50" s="3">
        <v>1</v>
      </c>
      <c r="BW50" s="3">
        <v>1</v>
      </c>
      <c r="BX50" s="3">
        <v>1</v>
      </c>
      <c r="BY50" s="3">
        <v>1</v>
      </c>
      <c r="BZ50" s="3">
        <f t="shared" si="11"/>
        <v>9</v>
      </c>
      <c r="CA50" s="3">
        <v>1</v>
      </c>
      <c r="CB50" s="3">
        <v>1</v>
      </c>
      <c r="CC50" s="3">
        <v>1</v>
      </c>
      <c r="CD50" s="3">
        <v>1</v>
      </c>
      <c r="CE50" s="3">
        <v>1</v>
      </c>
      <c r="CF50" s="3">
        <v>1</v>
      </c>
      <c r="CG50" s="3">
        <v>1</v>
      </c>
      <c r="CH50" s="3">
        <v>1</v>
      </c>
      <c r="CI50" s="3">
        <v>1</v>
      </c>
      <c r="CJ50" s="3">
        <v>1</v>
      </c>
      <c r="CK50" s="3">
        <v>1</v>
      </c>
      <c r="CL50" s="3">
        <v>1</v>
      </c>
      <c r="CM50" s="3">
        <f t="shared" si="12"/>
        <v>12</v>
      </c>
    </row>
    <row r="51" spans="1:91" ht="18" x14ac:dyDescent="0.35">
      <c r="A51" s="2">
        <v>46</v>
      </c>
      <c r="B51" s="16" t="s">
        <v>126</v>
      </c>
      <c r="C51" s="20" t="s">
        <v>127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8">
        <f t="shared" si="7"/>
        <v>15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8">
        <f t="shared" si="8"/>
        <v>12</v>
      </c>
      <c r="AG51" s="3">
        <v>1</v>
      </c>
      <c r="AH51" s="3">
        <v>1</v>
      </c>
      <c r="AI51" s="3">
        <v>1</v>
      </c>
      <c r="AJ51" s="3">
        <v>1</v>
      </c>
      <c r="AK51" s="3">
        <v>1</v>
      </c>
      <c r="AL51" s="3">
        <v>1</v>
      </c>
      <c r="AM51" s="3">
        <v>1</v>
      </c>
      <c r="AN51" s="3">
        <v>1</v>
      </c>
      <c r="AO51" s="3">
        <v>1</v>
      </c>
      <c r="AP51" s="3">
        <v>1</v>
      </c>
      <c r="AQ51" s="3">
        <v>1</v>
      </c>
      <c r="AR51" s="8">
        <f t="shared" si="6"/>
        <v>11</v>
      </c>
      <c r="AS51" s="3">
        <v>1</v>
      </c>
      <c r="AT51" s="3">
        <v>1</v>
      </c>
      <c r="AU51" s="3">
        <v>1</v>
      </c>
      <c r="AV51" s="3">
        <v>1</v>
      </c>
      <c r="AW51" s="3">
        <v>1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3">
        <v>1</v>
      </c>
      <c r="BD51" s="3">
        <f t="shared" si="9"/>
        <v>11</v>
      </c>
      <c r="BE51" s="3">
        <v>1</v>
      </c>
      <c r="BF51" s="3">
        <v>1</v>
      </c>
      <c r="BG51" s="3">
        <v>1</v>
      </c>
      <c r="BH51" s="3">
        <v>1</v>
      </c>
      <c r="BI51" s="3">
        <v>1</v>
      </c>
      <c r="BJ51" s="3">
        <v>1</v>
      </c>
      <c r="BK51" s="3">
        <v>1</v>
      </c>
      <c r="BL51" s="3">
        <v>1</v>
      </c>
      <c r="BM51" s="3">
        <v>1</v>
      </c>
      <c r="BN51" s="3">
        <v>1</v>
      </c>
      <c r="BO51" s="3">
        <v>1</v>
      </c>
      <c r="BP51" s="3">
        <f t="shared" si="10"/>
        <v>11</v>
      </c>
      <c r="BQ51" s="3">
        <v>1</v>
      </c>
      <c r="BR51" s="3">
        <v>1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>
        <v>1</v>
      </c>
      <c r="BZ51" s="3">
        <f t="shared" si="11"/>
        <v>9</v>
      </c>
      <c r="CA51" s="3">
        <v>1</v>
      </c>
      <c r="CB51" s="3">
        <v>1</v>
      </c>
      <c r="CC51" s="3">
        <v>1</v>
      </c>
      <c r="CD51" s="3">
        <v>1</v>
      </c>
      <c r="CE51" s="3">
        <v>1</v>
      </c>
      <c r="CF51" s="3">
        <v>1</v>
      </c>
      <c r="CG51" s="3">
        <v>1</v>
      </c>
      <c r="CH51" s="3">
        <v>1</v>
      </c>
      <c r="CI51" s="3">
        <v>1</v>
      </c>
      <c r="CJ51" s="3">
        <v>1</v>
      </c>
      <c r="CK51" s="3">
        <v>1</v>
      </c>
      <c r="CL51" s="3">
        <v>1</v>
      </c>
      <c r="CM51" s="3">
        <f t="shared" si="12"/>
        <v>12</v>
      </c>
    </row>
    <row r="52" spans="1:91" ht="18" x14ac:dyDescent="0.35">
      <c r="A52" s="2">
        <v>47</v>
      </c>
      <c r="B52" s="16" t="s">
        <v>128</v>
      </c>
      <c r="C52" s="20" t="s">
        <v>129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8">
        <f t="shared" si="7"/>
        <v>15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8">
        <f t="shared" si="8"/>
        <v>12</v>
      </c>
      <c r="AG52" s="3">
        <v>1</v>
      </c>
      <c r="AH52" s="3">
        <v>1</v>
      </c>
      <c r="AI52" s="3">
        <v>1</v>
      </c>
      <c r="AJ52" s="3">
        <v>1</v>
      </c>
      <c r="AK52" s="3">
        <v>1</v>
      </c>
      <c r="AL52" s="3">
        <v>1</v>
      </c>
      <c r="AM52" s="3">
        <v>1</v>
      </c>
      <c r="AN52" s="3">
        <v>1</v>
      </c>
      <c r="AO52" s="3">
        <v>1</v>
      </c>
      <c r="AP52" s="3">
        <v>1</v>
      </c>
      <c r="AQ52" s="3">
        <v>1</v>
      </c>
      <c r="AR52" s="8">
        <f t="shared" si="6"/>
        <v>11</v>
      </c>
      <c r="AS52" s="3">
        <v>1</v>
      </c>
      <c r="AT52" s="3">
        <v>1</v>
      </c>
      <c r="AU52" s="3">
        <v>1</v>
      </c>
      <c r="AV52" s="3">
        <v>1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 s="3">
        <v>1</v>
      </c>
      <c r="BD52" s="3">
        <f t="shared" si="9"/>
        <v>11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3">
        <v>1</v>
      </c>
      <c r="BK52" s="3">
        <v>1</v>
      </c>
      <c r="BL52" s="3">
        <v>1</v>
      </c>
      <c r="BM52" s="3">
        <v>1</v>
      </c>
      <c r="BN52" s="3">
        <v>1</v>
      </c>
      <c r="BO52" s="3">
        <v>1</v>
      </c>
      <c r="BP52" s="3">
        <f t="shared" si="10"/>
        <v>11</v>
      </c>
      <c r="BQ52" s="3">
        <v>1</v>
      </c>
      <c r="BR52" s="3">
        <v>1</v>
      </c>
      <c r="BS52" s="3">
        <v>1</v>
      </c>
      <c r="BT52" s="3">
        <v>1</v>
      </c>
      <c r="BU52" s="3">
        <v>1</v>
      </c>
      <c r="BV52" s="3">
        <v>1</v>
      </c>
      <c r="BW52" s="3">
        <v>1</v>
      </c>
      <c r="BX52" s="3">
        <v>1</v>
      </c>
      <c r="BY52" s="3">
        <v>1</v>
      </c>
      <c r="BZ52" s="3">
        <f t="shared" si="11"/>
        <v>9</v>
      </c>
      <c r="CA52" s="3">
        <v>1</v>
      </c>
      <c r="CB52" s="3">
        <v>1</v>
      </c>
      <c r="CC52" s="3">
        <v>1</v>
      </c>
      <c r="CD52" s="3">
        <v>1</v>
      </c>
      <c r="CE52" s="3">
        <v>1</v>
      </c>
      <c r="CF52" s="3">
        <v>1</v>
      </c>
      <c r="CG52" s="3">
        <v>1</v>
      </c>
      <c r="CH52" s="3">
        <v>1</v>
      </c>
      <c r="CI52" s="3">
        <v>1</v>
      </c>
      <c r="CJ52" s="3">
        <v>1</v>
      </c>
      <c r="CK52" s="3">
        <v>1</v>
      </c>
      <c r="CL52" s="3">
        <v>1</v>
      </c>
      <c r="CM52" s="3">
        <f t="shared" si="12"/>
        <v>12</v>
      </c>
    </row>
    <row r="53" spans="1:91" ht="18" x14ac:dyDescent="0.35">
      <c r="A53" s="2">
        <v>48</v>
      </c>
      <c r="B53" s="16" t="s">
        <v>130</v>
      </c>
      <c r="C53" s="20" t="s">
        <v>131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8">
        <f t="shared" si="7"/>
        <v>15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>
        <v>1</v>
      </c>
      <c r="AA53" s="3">
        <v>1</v>
      </c>
      <c r="AB53" s="3">
        <v>1</v>
      </c>
      <c r="AC53" s="3">
        <v>1</v>
      </c>
      <c r="AD53" s="3">
        <v>1</v>
      </c>
      <c r="AE53" s="3">
        <v>1</v>
      </c>
      <c r="AF53" s="8">
        <f t="shared" si="8"/>
        <v>12</v>
      </c>
      <c r="AG53" s="3">
        <v>1</v>
      </c>
      <c r="AH53" s="3">
        <v>1</v>
      </c>
      <c r="AI53" s="3">
        <v>1</v>
      </c>
      <c r="AJ53" s="3">
        <v>1</v>
      </c>
      <c r="AK53" s="3">
        <v>1</v>
      </c>
      <c r="AL53" s="3">
        <v>1</v>
      </c>
      <c r="AM53" s="3">
        <v>1</v>
      </c>
      <c r="AN53" s="3">
        <v>1</v>
      </c>
      <c r="AO53" s="3">
        <v>1</v>
      </c>
      <c r="AP53" s="3">
        <v>1</v>
      </c>
      <c r="AQ53" s="3">
        <v>1</v>
      </c>
      <c r="AR53" s="8">
        <f t="shared" si="6"/>
        <v>11</v>
      </c>
      <c r="AS53" s="3">
        <v>1</v>
      </c>
      <c r="AT53" s="3">
        <v>1</v>
      </c>
      <c r="AU53" s="3">
        <v>1</v>
      </c>
      <c r="AV53" s="3">
        <v>1</v>
      </c>
      <c r="AW53" s="3">
        <v>1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 s="3">
        <v>1</v>
      </c>
      <c r="BD53" s="3">
        <f t="shared" si="9"/>
        <v>11</v>
      </c>
      <c r="BE53" s="3">
        <v>1</v>
      </c>
      <c r="BF53" s="3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3">
        <v>1</v>
      </c>
      <c r="BM53" s="3">
        <v>1</v>
      </c>
      <c r="BN53" s="3">
        <v>1</v>
      </c>
      <c r="BO53" s="3">
        <v>1</v>
      </c>
      <c r="BP53" s="3">
        <f t="shared" si="10"/>
        <v>11</v>
      </c>
      <c r="BQ53" s="3">
        <v>1</v>
      </c>
      <c r="BR53" s="3">
        <v>1</v>
      </c>
      <c r="BS53" s="3">
        <v>1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>
        <v>1</v>
      </c>
      <c r="BZ53" s="3">
        <f t="shared" si="11"/>
        <v>9</v>
      </c>
      <c r="CA53" s="3">
        <v>1</v>
      </c>
      <c r="CB53" s="3">
        <v>1</v>
      </c>
      <c r="CC53" s="3">
        <v>1</v>
      </c>
      <c r="CD53" s="3">
        <v>1</v>
      </c>
      <c r="CE53" s="3">
        <v>1</v>
      </c>
      <c r="CF53" s="3">
        <v>1</v>
      </c>
      <c r="CG53" s="3">
        <v>1</v>
      </c>
      <c r="CH53" s="3">
        <v>1</v>
      </c>
      <c r="CI53" s="3">
        <v>1</v>
      </c>
      <c r="CJ53" s="3">
        <v>1</v>
      </c>
      <c r="CK53" s="3">
        <v>1</v>
      </c>
      <c r="CL53" s="3">
        <v>1</v>
      </c>
      <c r="CM53" s="3">
        <f t="shared" si="12"/>
        <v>12</v>
      </c>
    </row>
    <row r="54" spans="1:91" ht="18" x14ac:dyDescent="0.35">
      <c r="A54" s="2">
        <v>49</v>
      </c>
      <c r="B54" s="16" t="s">
        <v>132</v>
      </c>
      <c r="C54" s="20" t="s">
        <v>133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8">
        <f t="shared" si="7"/>
        <v>15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8">
        <f t="shared" si="8"/>
        <v>12</v>
      </c>
      <c r="AG54" s="3">
        <v>1</v>
      </c>
      <c r="AH54" s="3">
        <v>1</v>
      </c>
      <c r="AI54" s="3">
        <v>1</v>
      </c>
      <c r="AJ54" s="3">
        <v>1</v>
      </c>
      <c r="AK54" s="3">
        <v>1</v>
      </c>
      <c r="AL54" s="3">
        <v>1</v>
      </c>
      <c r="AM54" s="3">
        <v>1</v>
      </c>
      <c r="AN54" s="3">
        <v>1</v>
      </c>
      <c r="AO54" s="3">
        <v>1</v>
      </c>
      <c r="AP54" s="3">
        <v>1</v>
      </c>
      <c r="AQ54" s="3">
        <v>1</v>
      </c>
      <c r="AR54" s="8">
        <f t="shared" si="6"/>
        <v>11</v>
      </c>
      <c r="AS54" s="3">
        <v>1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f t="shared" si="9"/>
        <v>11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3">
        <v>1</v>
      </c>
      <c r="BN54" s="3">
        <v>1</v>
      </c>
      <c r="BO54" s="3">
        <v>1</v>
      </c>
      <c r="BP54" s="3">
        <f t="shared" si="10"/>
        <v>11</v>
      </c>
      <c r="BQ54" s="3">
        <v>1</v>
      </c>
      <c r="BR54" s="3">
        <v>1</v>
      </c>
      <c r="BS54" s="3">
        <v>1</v>
      </c>
      <c r="BT54" s="3">
        <v>1</v>
      </c>
      <c r="BU54" s="3">
        <v>1</v>
      </c>
      <c r="BV54" s="3">
        <v>1</v>
      </c>
      <c r="BW54" s="3">
        <v>1</v>
      </c>
      <c r="BX54" s="3">
        <v>1</v>
      </c>
      <c r="BY54" s="3">
        <v>1</v>
      </c>
      <c r="BZ54" s="3">
        <f t="shared" si="11"/>
        <v>9</v>
      </c>
      <c r="CA54" s="3">
        <v>1</v>
      </c>
      <c r="CB54" s="3">
        <v>1</v>
      </c>
      <c r="CC54" s="3">
        <v>1</v>
      </c>
      <c r="CD54" s="3">
        <v>1</v>
      </c>
      <c r="CE54" s="3">
        <v>1</v>
      </c>
      <c r="CF54" s="3">
        <v>1</v>
      </c>
      <c r="CG54" s="3">
        <v>1</v>
      </c>
      <c r="CH54" s="3">
        <v>1</v>
      </c>
      <c r="CI54" s="3">
        <v>1</v>
      </c>
      <c r="CJ54" s="3">
        <v>1</v>
      </c>
      <c r="CK54" s="3">
        <v>1</v>
      </c>
      <c r="CL54" s="3">
        <v>1</v>
      </c>
      <c r="CM54" s="3">
        <f t="shared" si="12"/>
        <v>12</v>
      </c>
    </row>
    <row r="55" spans="1:91" ht="18" x14ac:dyDescent="0.35">
      <c r="A55" s="2">
        <v>50</v>
      </c>
      <c r="B55" s="16" t="s">
        <v>134</v>
      </c>
      <c r="C55" s="20" t="s">
        <v>135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8">
        <f t="shared" si="7"/>
        <v>15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  <c r="AB55" s="3">
        <v>1</v>
      </c>
      <c r="AC55" s="3">
        <v>1</v>
      </c>
      <c r="AD55" s="3">
        <v>1</v>
      </c>
      <c r="AE55" s="3">
        <v>1</v>
      </c>
      <c r="AF55" s="8">
        <f t="shared" si="8"/>
        <v>12</v>
      </c>
      <c r="AG55" s="3">
        <v>1</v>
      </c>
      <c r="AH55" s="3">
        <v>1</v>
      </c>
      <c r="AI55" s="3">
        <v>1</v>
      </c>
      <c r="AJ55" s="3">
        <v>1</v>
      </c>
      <c r="AK55" s="3">
        <v>1</v>
      </c>
      <c r="AL55" s="3">
        <v>1</v>
      </c>
      <c r="AM55" s="3">
        <v>1</v>
      </c>
      <c r="AN55" s="3">
        <v>1</v>
      </c>
      <c r="AO55" s="3">
        <v>1</v>
      </c>
      <c r="AP55" s="3">
        <v>1</v>
      </c>
      <c r="AQ55" s="3">
        <v>1</v>
      </c>
      <c r="AR55" s="8">
        <f t="shared" si="6"/>
        <v>11</v>
      </c>
      <c r="AS55" s="3">
        <v>1</v>
      </c>
      <c r="AT55" s="3">
        <v>1</v>
      </c>
      <c r="AU55" s="3">
        <v>1</v>
      </c>
      <c r="AV55" s="3">
        <v>1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 s="3">
        <v>1</v>
      </c>
      <c r="BD55" s="3">
        <f t="shared" si="9"/>
        <v>11</v>
      </c>
      <c r="BE55" s="3">
        <v>1</v>
      </c>
      <c r="BF55" s="3">
        <v>1</v>
      </c>
      <c r="BG55" s="3">
        <v>1</v>
      </c>
      <c r="BH55" s="3">
        <v>1</v>
      </c>
      <c r="BI55" s="3">
        <v>1</v>
      </c>
      <c r="BJ55" s="3">
        <v>1</v>
      </c>
      <c r="BK55" s="3">
        <v>1</v>
      </c>
      <c r="BL55" s="3">
        <v>1</v>
      </c>
      <c r="BM55" s="3">
        <v>1</v>
      </c>
      <c r="BN55" s="3">
        <v>1</v>
      </c>
      <c r="BO55" s="3">
        <v>1</v>
      </c>
      <c r="BP55" s="3">
        <f t="shared" si="10"/>
        <v>11</v>
      </c>
      <c r="BQ55" s="3">
        <v>1</v>
      </c>
      <c r="BR55" s="3">
        <v>1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>
        <v>1</v>
      </c>
      <c r="BZ55" s="3">
        <f t="shared" si="11"/>
        <v>9</v>
      </c>
      <c r="CA55" s="3">
        <v>1</v>
      </c>
      <c r="CB55" s="3">
        <v>1</v>
      </c>
      <c r="CC55" s="3">
        <v>1</v>
      </c>
      <c r="CD55" s="3">
        <v>1</v>
      </c>
      <c r="CE55" s="3">
        <v>1</v>
      </c>
      <c r="CF55" s="3">
        <v>1</v>
      </c>
      <c r="CG55" s="3">
        <v>1</v>
      </c>
      <c r="CH55" s="3">
        <v>1</v>
      </c>
      <c r="CI55" s="3">
        <v>1</v>
      </c>
      <c r="CJ55" s="3">
        <v>1</v>
      </c>
      <c r="CK55" s="3">
        <v>1</v>
      </c>
      <c r="CL55" s="3">
        <v>1</v>
      </c>
      <c r="CM55" s="3">
        <f t="shared" si="12"/>
        <v>12</v>
      </c>
    </row>
    <row r="56" spans="1:91" ht="18" x14ac:dyDescent="0.35">
      <c r="A56" s="2">
        <v>51</v>
      </c>
      <c r="B56" s="16" t="s">
        <v>136</v>
      </c>
      <c r="C56" s="20" t="s">
        <v>137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8">
        <f t="shared" si="7"/>
        <v>15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>
        <v>1</v>
      </c>
      <c r="AA56" s="3">
        <v>1</v>
      </c>
      <c r="AB56" s="3">
        <v>1</v>
      </c>
      <c r="AC56" s="3">
        <v>1</v>
      </c>
      <c r="AD56" s="3">
        <v>1</v>
      </c>
      <c r="AE56" s="3">
        <v>1</v>
      </c>
      <c r="AF56" s="8">
        <f t="shared" si="8"/>
        <v>12</v>
      </c>
      <c r="AG56" s="3">
        <v>1</v>
      </c>
      <c r="AH56" s="3">
        <v>1</v>
      </c>
      <c r="AI56" s="3">
        <v>1</v>
      </c>
      <c r="AJ56" s="3">
        <v>1</v>
      </c>
      <c r="AK56" s="3">
        <v>1</v>
      </c>
      <c r="AL56" s="3">
        <v>1</v>
      </c>
      <c r="AM56" s="3">
        <v>1</v>
      </c>
      <c r="AN56" s="3">
        <v>1</v>
      </c>
      <c r="AO56" s="3">
        <v>1</v>
      </c>
      <c r="AP56" s="3">
        <v>1</v>
      </c>
      <c r="AQ56" s="3">
        <v>1</v>
      </c>
      <c r="AR56" s="8">
        <f t="shared" si="6"/>
        <v>11</v>
      </c>
      <c r="AS56" s="3">
        <v>1</v>
      </c>
      <c r="AT56" s="3">
        <v>1</v>
      </c>
      <c r="AU56" s="3">
        <v>1</v>
      </c>
      <c r="AV56" s="3">
        <v>1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3">
        <v>1</v>
      </c>
      <c r="BD56" s="3">
        <f t="shared" si="9"/>
        <v>11</v>
      </c>
      <c r="BE56" s="3">
        <v>1</v>
      </c>
      <c r="BF56" s="3">
        <v>1</v>
      </c>
      <c r="BG56" s="3">
        <v>1</v>
      </c>
      <c r="BH56" s="3">
        <v>1</v>
      </c>
      <c r="BI56" s="3">
        <v>1</v>
      </c>
      <c r="BJ56" s="3">
        <v>1</v>
      </c>
      <c r="BK56" s="3">
        <v>1</v>
      </c>
      <c r="BL56" s="3">
        <v>1</v>
      </c>
      <c r="BM56" s="3">
        <v>1</v>
      </c>
      <c r="BN56" s="3">
        <v>1</v>
      </c>
      <c r="BO56" s="3">
        <v>1</v>
      </c>
      <c r="BP56" s="3">
        <f t="shared" si="10"/>
        <v>11</v>
      </c>
      <c r="BQ56" s="3">
        <v>1</v>
      </c>
      <c r="BR56" s="3">
        <v>1</v>
      </c>
      <c r="BS56" s="3">
        <v>1</v>
      </c>
      <c r="BT56" s="3">
        <v>1</v>
      </c>
      <c r="BU56" s="3">
        <v>1</v>
      </c>
      <c r="BV56" s="3">
        <v>1</v>
      </c>
      <c r="BW56" s="3">
        <v>1</v>
      </c>
      <c r="BX56" s="3">
        <v>1</v>
      </c>
      <c r="BY56" s="3">
        <v>1</v>
      </c>
      <c r="BZ56" s="3">
        <f t="shared" si="11"/>
        <v>9</v>
      </c>
      <c r="CA56" s="3">
        <v>1</v>
      </c>
      <c r="CB56" s="3">
        <v>1</v>
      </c>
      <c r="CC56" s="3">
        <v>1</v>
      </c>
      <c r="CD56" s="3">
        <v>1</v>
      </c>
      <c r="CE56" s="3">
        <v>1</v>
      </c>
      <c r="CF56" s="3">
        <v>1</v>
      </c>
      <c r="CG56" s="3">
        <v>1</v>
      </c>
      <c r="CH56" s="3">
        <v>1</v>
      </c>
      <c r="CI56" s="3">
        <v>1</v>
      </c>
      <c r="CJ56" s="3">
        <v>1</v>
      </c>
      <c r="CK56" s="3">
        <v>1</v>
      </c>
      <c r="CL56" s="3">
        <v>1</v>
      </c>
      <c r="CM56" s="3">
        <f t="shared" si="12"/>
        <v>12</v>
      </c>
    </row>
    <row r="57" spans="1:91" ht="18" x14ac:dyDescent="0.35">
      <c r="A57" s="2">
        <v>52</v>
      </c>
      <c r="B57" s="16" t="s">
        <v>138</v>
      </c>
      <c r="C57" s="20" t="s">
        <v>139</v>
      </c>
      <c r="D57" s="3">
        <v>1</v>
      </c>
      <c r="E57" s="3">
        <v>1</v>
      </c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8">
        <f t="shared" si="7"/>
        <v>15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8">
        <f t="shared" si="8"/>
        <v>12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3">
        <v>1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8">
        <f t="shared" si="6"/>
        <v>11</v>
      </c>
      <c r="AS57" s="3">
        <v>1</v>
      </c>
      <c r="AT57" s="3">
        <v>1</v>
      </c>
      <c r="AU57" s="3">
        <v>1</v>
      </c>
      <c r="AV57" s="3">
        <v>1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  <c r="BD57" s="3">
        <f t="shared" si="9"/>
        <v>11</v>
      </c>
      <c r="BE57" s="3">
        <v>1</v>
      </c>
      <c r="BF57" s="3">
        <v>1</v>
      </c>
      <c r="BG57" s="3">
        <v>1</v>
      </c>
      <c r="BH57" s="3">
        <v>1</v>
      </c>
      <c r="BI57" s="3">
        <v>1</v>
      </c>
      <c r="BJ57" s="3">
        <v>1</v>
      </c>
      <c r="BK57" s="3">
        <v>1</v>
      </c>
      <c r="BL57" s="3">
        <v>1</v>
      </c>
      <c r="BM57" s="3">
        <v>1</v>
      </c>
      <c r="BN57" s="3">
        <v>1</v>
      </c>
      <c r="BO57" s="3">
        <v>1</v>
      </c>
      <c r="BP57" s="3">
        <f t="shared" si="10"/>
        <v>11</v>
      </c>
      <c r="BQ57" s="3">
        <v>1</v>
      </c>
      <c r="BR57" s="3">
        <v>1</v>
      </c>
      <c r="BS57" s="3">
        <v>1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>
        <v>1</v>
      </c>
      <c r="BZ57" s="3">
        <f t="shared" si="11"/>
        <v>9</v>
      </c>
      <c r="CA57" s="3">
        <v>1</v>
      </c>
      <c r="CB57" s="3">
        <v>1</v>
      </c>
      <c r="CC57" s="3">
        <v>1</v>
      </c>
      <c r="CD57" s="3">
        <v>1</v>
      </c>
      <c r="CE57" s="3">
        <v>1</v>
      </c>
      <c r="CF57" s="3">
        <v>1</v>
      </c>
      <c r="CG57" s="3">
        <v>1</v>
      </c>
      <c r="CH57" s="3">
        <v>1</v>
      </c>
      <c r="CI57" s="3">
        <v>1</v>
      </c>
      <c r="CJ57" s="3">
        <v>1</v>
      </c>
      <c r="CK57" s="3">
        <v>1</v>
      </c>
      <c r="CL57" s="3">
        <v>1</v>
      </c>
      <c r="CM57" s="3">
        <f t="shared" si="12"/>
        <v>12</v>
      </c>
    </row>
    <row r="58" spans="1:91" ht="18" x14ac:dyDescent="0.35">
      <c r="A58" s="2">
        <v>53</v>
      </c>
      <c r="B58" s="16" t="s">
        <v>140</v>
      </c>
      <c r="C58" s="20" t="s">
        <v>141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8">
        <f t="shared" si="7"/>
        <v>15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8">
        <f t="shared" si="8"/>
        <v>12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8">
        <f t="shared" si="6"/>
        <v>11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f t="shared" si="9"/>
        <v>11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f t="shared" si="10"/>
        <v>11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f t="shared" si="11"/>
        <v>9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f t="shared" si="12"/>
        <v>12</v>
      </c>
    </row>
    <row r="59" spans="1:91" ht="18" x14ac:dyDescent="0.35">
      <c r="A59" s="2">
        <v>54</v>
      </c>
      <c r="B59" s="16" t="s">
        <v>142</v>
      </c>
      <c r="C59" s="20" t="s">
        <v>143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8">
        <f t="shared" si="7"/>
        <v>15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1</v>
      </c>
      <c r="Z59" s="3">
        <v>1</v>
      </c>
      <c r="AA59" s="3">
        <v>1</v>
      </c>
      <c r="AB59" s="3">
        <v>1</v>
      </c>
      <c r="AC59" s="3">
        <v>1</v>
      </c>
      <c r="AD59" s="3">
        <v>1</v>
      </c>
      <c r="AE59" s="3">
        <v>1</v>
      </c>
      <c r="AF59" s="8">
        <f t="shared" si="8"/>
        <v>12</v>
      </c>
      <c r="AG59" s="3">
        <v>1</v>
      </c>
      <c r="AH59" s="3">
        <v>1</v>
      </c>
      <c r="AI59" s="3">
        <v>1</v>
      </c>
      <c r="AJ59" s="3">
        <v>1</v>
      </c>
      <c r="AK59" s="3">
        <v>1</v>
      </c>
      <c r="AL59" s="3">
        <v>1</v>
      </c>
      <c r="AM59" s="3">
        <v>1</v>
      </c>
      <c r="AN59" s="3">
        <v>1</v>
      </c>
      <c r="AO59" s="3">
        <v>1</v>
      </c>
      <c r="AP59" s="3">
        <v>1</v>
      </c>
      <c r="AQ59" s="3">
        <v>1</v>
      </c>
      <c r="AR59" s="8">
        <f t="shared" si="6"/>
        <v>11</v>
      </c>
      <c r="AS59" s="3">
        <v>1</v>
      </c>
      <c r="AT59" s="3">
        <v>1</v>
      </c>
      <c r="AU59" s="3">
        <v>1</v>
      </c>
      <c r="AV59" s="3">
        <v>1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 s="3">
        <v>1</v>
      </c>
      <c r="BD59" s="3">
        <f t="shared" si="9"/>
        <v>11</v>
      </c>
      <c r="BE59" s="3">
        <v>1</v>
      </c>
      <c r="BF59" s="3">
        <v>1</v>
      </c>
      <c r="BG59" s="3">
        <v>1</v>
      </c>
      <c r="BH59" s="3">
        <v>1</v>
      </c>
      <c r="BI59" s="3">
        <v>1</v>
      </c>
      <c r="BJ59" s="3">
        <v>1</v>
      </c>
      <c r="BK59" s="3">
        <v>1</v>
      </c>
      <c r="BL59" s="3">
        <v>1</v>
      </c>
      <c r="BM59" s="3">
        <v>1</v>
      </c>
      <c r="BN59" s="3">
        <v>1</v>
      </c>
      <c r="BO59" s="3">
        <v>1</v>
      </c>
      <c r="BP59" s="3">
        <f t="shared" si="10"/>
        <v>11</v>
      </c>
      <c r="BQ59" s="3">
        <v>1</v>
      </c>
      <c r="BR59" s="3">
        <v>1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>
        <v>1</v>
      </c>
      <c r="BZ59" s="3">
        <f t="shared" si="11"/>
        <v>9</v>
      </c>
      <c r="CA59" s="3">
        <v>1</v>
      </c>
      <c r="CB59" s="3">
        <v>1</v>
      </c>
      <c r="CC59" s="3">
        <v>1</v>
      </c>
      <c r="CD59" s="3">
        <v>1</v>
      </c>
      <c r="CE59" s="3">
        <v>1</v>
      </c>
      <c r="CF59" s="3">
        <v>1</v>
      </c>
      <c r="CG59" s="3">
        <v>1</v>
      </c>
      <c r="CH59" s="3">
        <v>1</v>
      </c>
      <c r="CI59" s="3">
        <v>1</v>
      </c>
      <c r="CJ59" s="3">
        <v>1</v>
      </c>
      <c r="CK59" s="3">
        <v>1</v>
      </c>
      <c r="CL59" s="3">
        <v>1</v>
      </c>
      <c r="CM59" s="3">
        <f t="shared" si="12"/>
        <v>12</v>
      </c>
    </row>
    <row r="60" spans="1:91" ht="18" x14ac:dyDescent="0.35">
      <c r="A60" s="2">
        <v>55</v>
      </c>
      <c r="B60" s="16" t="s">
        <v>144</v>
      </c>
      <c r="C60" s="20" t="s">
        <v>145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8">
        <f t="shared" si="7"/>
        <v>15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  <c r="AF60" s="8">
        <f t="shared" si="8"/>
        <v>12</v>
      </c>
      <c r="AG60" s="3">
        <v>1</v>
      </c>
      <c r="AH60" s="3">
        <v>1</v>
      </c>
      <c r="AI60" s="3">
        <v>1</v>
      </c>
      <c r="AJ60" s="3">
        <v>1</v>
      </c>
      <c r="AK60" s="3">
        <v>1</v>
      </c>
      <c r="AL60" s="3">
        <v>1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8">
        <f t="shared" si="6"/>
        <v>11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3">
        <v>1</v>
      </c>
      <c r="BD60" s="3">
        <f t="shared" si="9"/>
        <v>11</v>
      </c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3">
        <v>1</v>
      </c>
      <c r="BK60" s="3">
        <v>1</v>
      </c>
      <c r="BL60" s="3">
        <v>1</v>
      </c>
      <c r="BM60" s="3">
        <v>1</v>
      </c>
      <c r="BN60" s="3">
        <v>1</v>
      </c>
      <c r="BO60" s="3">
        <v>1</v>
      </c>
      <c r="BP60" s="3">
        <f t="shared" si="10"/>
        <v>11</v>
      </c>
      <c r="BQ60" s="3">
        <v>1</v>
      </c>
      <c r="BR60" s="3">
        <v>1</v>
      </c>
      <c r="BS60" s="3">
        <v>1</v>
      </c>
      <c r="BT60" s="3">
        <v>1</v>
      </c>
      <c r="BU60" s="3">
        <v>1</v>
      </c>
      <c r="BV60" s="3">
        <v>1</v>
      </c>
      <c r="BW60" s="3">
        <v>1</v>
      </c>
      <c r="BX60" s="3">
        <v>1</v>
      </c>
      <c r="BY60" s="3">
        <v>1</v>
      </c>
      <c r="BZ60" s="3">
        <f t="shared" si="11"/>
        <v>9</v>
      </c>
      <c r="CA60" s="3">
        <v>1</v>
      </c>
      <c r="CB60" s="3">
        <v>1</v>
      </c>
      <c r="CC60" s="3">
        <v>1</v>
      </c>
      <c r="CD60" s="3">
        <v>1</v>
      </c>
      <c r="CE60" s="3">
        <v>1</v>
      </c>
      <c r="CF60" s="3">
        <v>1</v>
      </c>
      <c r="CG60" s="3">
        <v>1</v>
      </c>
      <c r="CH60" s="3">
        <v>1</v>
      </c>
      <c r="CI60" s="3">
        <v>1</v>
      </c>
      <c r="CJ60" s="3">
        <v>1</v>
      </c>
      <c r="CK60" s="3">
        <v>1</v>
      </c>
      <c r="CL60" s="3">
        <v>1</v>
      </c>
      <c r="CM60" s="3">
        <f t="shared" si="12"/>
        <v>12</v>
      </c>
    </row>
    <row r="61" spans="1:91" ht="18" x14ac:dyDescent="0.35">
      <c r="A61" s="2">
        <v>56</v>
      </c>
      <c r="B61" s="16" t="s">
        <v>146</v>
      </c>
      <c r="C61" s="20" t="s">
        <v>147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8">
        <f t="shared" si="7"/>
        <v>15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">
        <v>1</v>
      </c>
      <c r="AD61" s="3">
        <v>1</v>
      </c>
      <c r="AE61" s="3">
        <v>1</v>
      </c>
      <c r="AF61" s="8">
        <f t="shared" si="8"/>
        <v>12</v>
      </c>
      <c r="AG61" s="3">
        <v>1</v>
      </c>
      <c r="AH61" s="3">
        <v>1</v>
      </c>
      <c r="AI61" s="3">
        <v>1</v>
      </c>
      <c r="AJ61" s="3">
        <v>1</v>
      </c>
      <c r="AK61" s="3">
        <v>1</v>
      </c>
      <c r="AL61" s="3">
        <v>1</v>
      </c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8">
        <f t="shared" si="6"/>
        <v>11</v>
      </c>
      <c r="AS61" s="3">
        <v>1</v>
      </c>
      <c r="AT61" s="3">
        <v>1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 s="3">
        <v>1</v>
      </c>
      <c r="BD61" s="3">
        <f t="shared" si="9"/>
        <v>11</v>
      </c>
      <c r="BE61" s="3">
        <v>1</v>
      </c>
      <c r="BF61" s="3">
        <v>1</v>
      </c>
      <c r="BG61" s="3">
        <v>1</v>
      </c>
      <c r="BH61" s="3">
        <v>1</v>
      </c>
      <c r="BI61" s="3">
        <v>1</v>
      </c>
      <c r="BJ61" s="3">
        <v>1</v>
      </c>
      <c r="BK61" s="3">
        <v>1</v>
      </c>
      <c r="BL61" s="3">
        <v>1</v>
      </c>
      <c r="BM61" s="3">
        <v>1</v>
      </c>
      <c r="BN61" s="3">
        <v>1</v>
      </c>
      <c r="BO61" s="3">
        <v>1</v>
      </c>
      <c r="BP61" s="3">
        <f t="shared" si="10"/>
        <v>11</v>
      </c>
      <c r="BQ61" s="3">
        <v>1</v>
      </c>
      <c r="BR61" s="3">
        <v>1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>
        <v>1</v>
      </c>
      <c r="BZ61" s="3">
        <f t="shared" si="11"/>
        <v>9</v>
      </c>
      <c r="CA61" s="3">
        <v>1</v>
      </c>
      <c r="CB61" s="3">
        <v>1</v>
      </c>
      <c r="CC61" s="3">
        <v>1</v>
      </c>
      <c r="CD61" s="3">
        <v>1</v>
      </c>
      <c r="CE61" s="3">
        <v>1</v>
      </c>
      <c r="CF61" s="3">
        <v>1</v>
      </c>
      <c r="CG61" s="3">
        <v>1</v>
      </c>
      <c r="CH61" s="3">
        <v>1</v>
      </c>
      <c r="CI61" s="3">
        <v>1</v>
      </c>
      <c r="CJ61" s="3">
        <v>1</v>
      </c>
      <c r="CK61" s="3">
        <v>1</v>
      </c>
      <c r="CL61" s="3">
        <v>1</v>
      </c>
      <c r="CM61" s="3">
        <f t="shared" si="12"/>
        <v>12</v>
      </c>
    </row>
    <row r="62" spans="1:91" ht="18" x14ac:dyDescent="0.35">
      <c r="A62" s="2">
        <v>57</v>
      </c>
      <c r="B62" s="16" t="s">
        <v>148</v>
      </c>
      <c r="C62" s="20" t="s">
        <v>149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8">
        <f t="shared" si="7"/>
        <v>15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1</v>
      </c>
      <c r="AA62" s="3">
        <v>1</v>
      </c>
      <c r="AB62" s="3">
        <v>1</v>
      </c>
      <c r="AC62" s="3">
        <v>1</v>
      </c>
      <c r="AD62" s="3">
        <v>1</v>
      </c>
      <c r="AE62" s="3">
        <v>1</v>
      </c>
      <c r="AF62" s="8">
        <f t="shared" si="8"/>
        <v>12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3">
        <v>1</v>
      </c>
      <c r="AN62" s="3">
        <v>1</v>
      </c>
      <c r="AO62" s="3">
        <v>1</v>
      </c>
      <c r="AP62" s="3">
        <v>1</v>
      </c>
      <c r="AQ62" s="3">
        <v>1</v>
      </c>
      <c r="AR62" s="8">
        <f t="shared" si="6"/>
        <v>11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3">
        <v>1</v>
      </c>
      <c r="BD62" s="3">
        <f t="shared" si="9"/>
        <v>11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3">
        <v>1</v>
      </c>
      <c r="BK62" s="3">
        <v>1</v>
      </c>
      <c r="BL62" s="3">
        <v>1</v>
      </c>
      <c r="BM62" s="3">
        <v>1</v>
      </c>
      <c r="BN62" s="3">
        <v>1</v>
      </c>
      <c r="BO62" s="3">
        <v>1</v>
      </c>
      <c r="BP62" s="3">
        <f t="shared" si="10"/>
        <v>11</v>
      </c>
      <c r="BQ62" s="3">
        <v>1</v>
      </c>
      <c r="BR62" s="3">
        <v>1</v>
      </c>
      <c r="BS62" s="3">
        <v>1</v>
      </c>
      <c r="BT62" s="3">
        <v>1</v>
      </c>
      <c r="BU62" s="3">
        <v>1</v>
      </c>
      <c r="BV62" s="3">
        <v>1</v>
      </c>
      <c r="BW62" s="3">
        <v>1</v>
      </c>
      <c r="BX62" s="3">
        <v>1</v>
      </c>
      <c r="BY62" s="3">
        <v>1</v>
      </c>
      <c r="BZ62" s="3">
        <f t="shared" si="11"/>
        <v>9</v>
      </c>
      <c r="CA62" s="3">
        <v>1</v>
      </c>
      <c r="CB62" s="3">
        <v>1</v>
      </c>
      <c r="CC62" s="3">
        <v>1</v>
      </c>
      <c r="CD62" s="3">
        <v>1</v>
      </c>
      <c r="CE62" s="3">
        <v>1</v>
      </c>
      <c r="CF62" s="3">
        <v>1</v>
      </c>
      <c r="CG62" s="3">
        <v>1</v>
      </c>
      <c r="CH62" s="3">
        <v>1</v>
      </c>
      <c r="CI62" s="3">
        <v>1</v>
      </c>
      <c r="CJ62" s="3">
        <v>1</v>
      </c>
      <c r="CK62" s="3">
        <v>1</v>
      </c>
      <c r="CL62" s="3">
        <v>1</v>
      </c>
      <c r="CM62" s="3">
        <f t="shared" si="12"/>
        <v>12</v>
      </c>
    </row>
    <row r="63" spans="1:91" ht="18" x14ac:dyDescent="0.35">
      <c r="A63" s="2">
        <v>58</v>
      </c>
      <c r="B63" s="16" t="s">
        <v>150</v>
      </c>
      <c r="C63" s="20" t="s">
        <v>151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8">
        <f t="shared" si="7"/>
        <v>15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  <c r="AC63" s="3">
        <v>1</v>
      </c>
      <c r="AD63" s="3">
        <v>1</v>
      </c>
      <c r="AE63" s="3">
        <v>1</v>
      </c>
      <c r="AF63" s="8">
        <f t="shared" si="8"/>
        <v>12</v>
      </c>
      <c r="AG63" s="3">
        <v>1</v>
      </c>
      <c r="AH63" s="3">
        <v>1</v>
      </c>
      <c r="AI63" s="3">
        <v>1</v>
      </c>
      <c r="AJ63" s="3">
        <v>1</v>
      </c>
      <c r="AK63" s="3">
        <v>1</v>
      </c>
      <c r="AL63" s="3">
        <v>1</v>
      </c>
      <c r="AM63" s="3">
        <v>1</v>
      </c>
      <c r="AN63" s="3">
        <v>1</v>
      </c>
      <c r="AO63" s="3">
        <v>1</v>
      </c>
      <c r="AP63" s="3">
        <v>1</v>
      </c>
      <c r="AQ63" s="3">
        <v>1</v>
      </c>
      <c r="AR63" s="8">
        <f t="shared" si="6"/>
        <v>11</v>
      </c>
      <c r="AS63" s="3">
        <v>1</v>
      </c>
      <c r="AT63" s="3">
        <v>1</v>
      </c>
      <c r="AU63" s="3">
        <v>1</v>
      </c>
      <c r="AV63" s="3">
        <v>1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3">
        <v>1</v>
      </c>
      <c r="BD63" s="3">
        <f t="shared" si="9"/>
        <v>11</v>
      </c>
      <c r="BE63" s="3">
        <v>1</v>
      </c>
      <c r="BF63" s="3">
        <v>1</v>
      </c>
      <c r="BG63" s="3">
        <v>1</v>
      </c>
      <c r="BH63" s="3">
        <v>1</v>
      </c>
      <c r="BI63" s="3">
        <v>1</v>
      </c>
      <c r="BJ63" s="3">
        <v>1</v>
      </c>
      <c r="BK63" s="3">
        <v>1</v>
      </c>
      <c r="BL63" s="3">
        <v>1</v>
      </c>
      <c r="BM63" s="3">
        <v>1</v>
      </c>
      <c r="BN63" s="3">
        <v>1</v>
      </c>
      <c r="BO63" s="3">
        <v>1</v>
      </c>
      <c r="BP63" s="3">
        <f t="shared" si="10"/>
        <v>11</v>
      </c>
      <c r="BQ63" s="3">
        <v>1</v>
      </c>
      <c r="BR63" s="3">
        <v>1</v>
      </c>
      <c r="BS63" s="3">
        <v>1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>
        <v>1</v>
      </c>
      <c r="BZ63" s="3">
        <f t="shared" si="11"/>
        <v>9</v>
      </c>
      <c r="CA63" s="3">
        <v>1</v>
      </c>
      <c r="CB63" s="3">
        <v>1</v>
      </c>
      <c r="CC63" s="3">
        <v>1</v>
      </c>
      <c r="CD63" s="3">
        <v>1</v>
      </c>
      <c r="CE63" s="3">
        <v>1</v>
      </c>
      <c r="CF63" s="3">
        <v>1</v>
      </c>
      <c r="CG63" s="3">
        <v>1</v>
      </c>
      <c r="CH63" s="3">
        <v>1</v>
      </c>
      <c r="CI63" s="3">
        <v>1</v>
      </c>
      <c r="CJ63" s="3">
        <v>1</v>
      </c>
      <c r="CK63" s="3">
        <v>1</v>
      </c>
      <c r="CL63" s="3">
        <v>1</v>
      </c>
      <c r="CM63" s="3">
        <f t="shared" si="12"/>
        <v>12</v>
      </c>
    </row>
    <row r="64" spans="1:91" ht="18" x14ac:dyDescent="0.35">
      <c r="A64" s="2">
        <v>59</v>
      </c>
      <c r="B64" s="16" t="s">
        <v>152</v>
      </c>
      <c r="C64" s="20" t="s">
        <v>153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8">
        <f t="shared" si="7"/>
        <v>15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  <c r="AF64" s="8">
        <f t="shared" si="8"/>
        <v>12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3">
        <v>1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8">
        <f t="shared" si="6"/>
        <v>11</v>
      </c>
      <c r="AS64" s="3">
        <v>1</v>
      </c>
      <c r="AT64" s="3">
        <v>1</v>
      </c>
      <c r="AU64" s="3">
        <v>1</v>
      </c>
      <c r="AV64" s="3">
        <v>1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3">
        <v>1</v>
      </c>
      <c r="BD64" s="3">
        <f t="shared" si="9"/>
        <v>11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>
        <v>1</v>
      </c>
      <c r="BK64" s="3">
        <v>1</v>
      </c>
      <c r="BL64" s="3">
        <v>1</v>
      </c>
      <c r="BM64" s="3">
        <v>1</v>
      </c>
      <c r="BN64" s="3">
        <v>1</v>
      </c>
      <c r="BO64" s="3">
        <v>1</v>
      </c>
      <c r="BP64" s="3">
        <f t="shared" si="10"/>
        <v>11</v>
      </c>
      <c r="BQ64" s="3">
        <v>1</v>
      </c>
      <c r="BR64" s="3">
        <v>1</v>
      </c>
      <c r="BS64" s="3">
        <v>1</v>
      </c>
      <c r="BT64" s="3">
        <v>1</v>
      </c>
      <c r="BU64" s="3">
        <v>1</v>
      </c>
      <c r="BV64" s="3">
        <v>1</v>
      </c>
      <c r="BW64" s="3">
        <v>1</v>
      </c>
      <c r="BX64" s="3">
        <v>1</v>
      </c>
      <c r="BY64" s="3">
        <v>1</v>
      </c>
      <c r="BZ64" s="3">
        <f t="shared" si="11"/>
        <v>9</v>
      </c>
      <c r="CA64" s="3">
        <v>1</v>
      </c>
      <c r="CB64" s="3">
        <v>1</v>
      </c>
      <c r="CC64" s="3">
        <v>1</v>
      </c>
      <c r="CD64" s="3">
        <v>1</v>
      </c>
      <c r="CE64" s="3">
        <v>1</v>
      </c>
      <c r="CF64" s="3">
        <v>1</v>
      </c>
      <c r="CG64" s="3">
        <v>1</v>
      </c>
      <c r="CH64" s="3">
        <v>1</v>
      </c>
      <c r="CI64" s="3">
        <v>1</v>
      </c>
      <c r="CJ64" s="3">
        <v>1</v>
      </c>
      <c r="CK64" s="3">
        <v>1</v>
      </c>
      <c r="CL64" s="3">
        <v>1</v>
      </c>
      <c r="CM64" s="3">
        <f t="shared" si="12"/>
        <v>12</v>
      </c>
    </row>
    <row r="65" spans="1:91" ht="18" x14ac:dyDescent="0.35">
      <c r="A65" s="2">
        <v>60</v>
      </c>
      <c r="B65" s="16" t="s">
        <v>154</v>
      </c>
      <c r="C65" s="20" t="s">
        <v>155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8">
        <f t="shared" si="7"/>
        <v>15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1</v>
      </c>
      <c r="AC65" s="3">
        <v>1</v>
      </c>
      <c r="AD65" s="3">
        <v>1</v>
      </c>
      <c r="AE65" s="3">
        <v>1</v>
      </c>
      <c r="AF65" s="8">
        <f t="shared" si="8"/>
        <v>12</v>
      </c>
      <c r="AG65" s="3">
        <v>1</v>
      </c>
      <c r="AH65" s="3">
        <v>1</v>
      </c>
      <c r="AI65" s="3">
        <v>1</v>
      </c>
      <c r="AJ65" s="3">
        <v>1</v>
      </c>
      <c r="AK65" s="3">
        <v>1</v>
      </c>
      <c r="AL65" s="3">
        <v>1</v>
      </c>
      <c r="AM65" s="3">
        <v>1</v>
      </c>
      <c r="AN65" s="3">
        <v>1</v>
      </c>
      <c r="AO65" s="3">
        <v>1</v>
      </c>
      <c r="AP65" s="3">
        <v>1</v>
      </c>
      <c r="AQ65" s="3">
        <v>1</v>
      </c>
      <c r="AR65" s="8">
        <f t="shared" si="6"/>
        <v>11</v>
      </c>
      <c r="AS65" s="3">
        <v>1</v>
      </c>
      <c r="AT65" s="3">
        <v>1</v>
      </c>
      <c r="AU65" s="3">
        <v>1</v>
      </c>
      <c r="AV65" s="3">
        <v>1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 s="3">
        <v>1</v>
      </c>
      <c r="BD65" s="3">
        <f t="shared" si="9"/>
        <v>11</v>
      </c>
      <c r="BE65" s="3">
        <v>1</v>
      </c>
      <c r="BF65" s="3">
        <v>1</v>
      </c>
      <c r="BG65" s="3">
        <v>1</v>
      </c>
      <c r="BH65" s="3">
        <v>1</v>
      </c>
      <c r="BI65" s="3">
        <v>1</v>
      </c>
      <c r="BJ65" s="3">
        <v>1</v>
      </c>
      <c r="BK65" s="3">
        <v>1</v>
      </c>
      <c r="BL65" s="3">
        <v>1</v>
      </c>
      <c r="BM65" s="3">
        <v>1</v>
      </c>
      <c r="BN65" s="3">
        <v>1</v>
      </c>
      <c r="BO65" s="3">
        <v>1</v>
      </c>
      <c r="BP65" s="3">
        <f t="shared" si="10"/>
        <v>11</v>
      </c>
      <c r="BQ65" s="3">
        <v>1</v>
      </c>
      <c r="BR65" s="3">
        <v>1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>
        <v>1</v>
      </c>
      <c r="BZ65" s="3">
        <f t="shared" si="11"/>
        <v>9</v>
      </c>
      <c r="CA65" s="3">
        <v>1</v>
      </c>
      <c r="CB65" s="3">
        <v>1</v>
      </c>
      <c r="CC65" s="3">
        <v>1</v>
      </c>
      <c r="CD65" s="3">
        <v>1</v>
      </c>
      <c r="CE65" s="3">
        <v>1</v>
      </c>
      <c r="CF65" s="3">
        <v>1</v>
      </c>
      <c r="CG65" s="3">
        <v>1</v>
      </c>
      <c r="CH65" s="3">
        <v>1</v>
      </c>
      <c r="CI65" s="3">
        <v>1</v>
      </c>
      <c r="CJ65" s="3">
        <v>1</v>
      </c>
      <c r="CK65" s="3">
        <v>1</v>
      </c>
      <c r="CL65" s="3">
        <v>1</v>
      </c>
      <c r="CM65" s="3">
        <f t="shared" si="12"/>
        <v>12</v>
      </c>
    </row>
    <row r="66" spans="1:91" ht="18" x14ac:dyDescent="0.35">
      <c r="A66" s="2">
        <v>61</v>
      </c>
      <c r="B66" s="16" t="s">
        <v>156</v>
      </c>
      <c r="C66" s="20" t="s">
        <v>157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8">
        <f t="shared" si="7"/>
        <v>15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8">
        <f t="shared" si="8"/>
        <v>12</v>
      </c>
      <c r="AG66" s="3">
        <v>1</v>
      </c>
      <c r="AH66" s="3">
        <v>1</v>
      </c>
      <c r="AI66" s="3">
        <v>1</v>
      </c>
      <c r="AJ66" s="3">
        <v>1</v>
      </c>
      <c r="AK66" s="3">
        <v>1</v>
      </c>
      <c r="AL66" s="3">
        <v>1</v>
      </c>
      <c r="AM66" s="3">
        <v>1</v>
      </c>
      <c r="AN66" s="3">
        <v>1</v>
      </c>
      <c r="AO66" s="3">
        <v>1</v>
      </c>
      <c r="AP66" s="3">
        <v>1</v>
      </c>
      <c r="AQ66" s="3">
        <v>1</v>
      </c>
      <c r="AR66" s="8">
        <f t="shared" si="6"/>
        <v>11</v>
      </c>
      <c r="AS66" s="3">
        <v>1</v>
      </c>
      <c r="AT66" s="3">
        <v>1</v>
      </c>
      <c r="AU66" s="3">
        <v>1</v>
      </c>
      <c r="AV66" s="3">
        <v>1</v>
      </c>
      <c r="AW66" s="3">
        <v>1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3">
        <v>1</v>
      </c>
      <c r="BD66" s="3">
        <f t="shared" si="9"/>
        <v>11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3">
        <v>1</v>
      </c>
      <c r="BK66" s="3">
        <v>1</v>
      </c>
      <c r="BL66" s="3">
        <v>1</v>
      </c>
      <c r="BM66" s="3">
        <v>1</v>
      </c>
      <c r="BN66" s="3">
        <v>1</v>
      </c>
      <c r="BO66" s="3">
        <v>1</v>
      </c>
      <c r="BP66" s="3">
        <f t="shared" si="10"/>
        <v>11</v>
      </c>
      <c r="BQ66" s="3">
        <v>1</v>
      </c>
      <c r="BR66" s="3">
        <v>1</v>
      </c>
      <c r="BS66" s="3">
        <v>1</v>
      </c>
      <c r="BT66" s="3">
        <v>1</v>
      </c>
      <c r="BU66" s="3">
        <v>1</v>
      </c>
      <c r="BV66" s="3">
        <v>1</v>
      </c>
      <c r="BW66" s="3">
        <v>1</v>
      </c>
      <c r="BX66" s="3">
        <v>1</v>
      </c>
      <c r="BY66" s="3">
        <v>1</v>
      </c>
      <c r="BZ66" s="3">
        <f t="shared" si="11"/>
        <v>9</v>
      </c>
      <c r="CA66" s="3">
        <v>1</v>
      </c>
      <c r="CB66" s="3">
        <v>1</v>
      </c>
      <c r="CC66" s="3">
        <v>1</v>
      </c>
      <c r="CD66" s="3">
        <v>1</v>
      </c>
      <c r="CE66" s="3">
        <v>1</v>
      </c>
      <c r="CF66" s="3">
        <v>1</v>
      </c>
      <c r="CG66" s="3">
        <v>1</v>
      </c>
      <c r="CH66" s="3">
        <v>1</v>
      </c>
      <c r="CI66" s="3">
        <v>1</v>
      </c>
      <c r="CJ66" s="3">
        <v>1</v>
      </c>
      <c r="CK66" s="3">
        <v>1</v>
      </c>
      <c r="CL66" s="3">
        <v>1</v>
      </c>
      <c r="CM66" s="3">
        <f t="shared" si="12"/>
        <v>12</v>
      </c>
    </row>
    <row r="67" spans="1:91" ht="18" x14ac:dyDescent="0.35">
      <c r="A67" s="2">
        <v>62</v>
      </c>
      <c r="B67" s="16" t="s">
        <v>158</v>
      </c>
      <c r="C67" s="20" t="s">
        <v>159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>
        <v>1</v>
      </c>
      <c r="R67" s="3">
        <v>1</v>
      </c>
      <c r="S67" s="8">
        <f t="shared" si="7"/>
        <v>15</v>
      </c>
      <c r="T67" s="3">
        <v>1</v>
      </c>
      <c r="U67" s="3">
        <v>1</v>
      </c>
      <c r="V67" s="3">
        <v>1</v>
      </c>
      <c r="W67" s="3">
        <v>1</v>
      </c>
      <c r="X67" s="3">
        <v>1</v>
      </c>
      <c r="Y67" s="3">
        <v>1</v>
      </c>
      <c r="Z67" s="3">
        <v>1</v>
      </c>
      <c r="AA67" s="3">
        <v>1</v>
      </c>
      <c r="AB67" s="3">
        <v>1</v>
      </c>
      <c r="AC67" s="3">
        <v>1</v>
      </c>
      <c r="AD67" s="3">
        <v>1</v>
      </c>
      <c r="AE67" s="3">
        <v>1</v>
      </c>
      <c r="AF67" s="8">
        <f t="shared" si="8"/>
        <v>12</v>
      </c>
      <c r="AG67" s="3">
        <v>1</v>
      </c>
      <c r="AH67" s="3">
        <v>1</v>
      </c>
      <c r="AI67" s="3">
        <v>1</v>
      </c>
      <c r="AJ67" s="3">
        <v>1</v>
      </c>
      <c r="AK67" s="3">
        <v>1</v>
      </c>
      <c r="AL67" s="3">
        <v>1</v>
      </c>
      <c r="AM67" s="3">
        <v>1</v>
      </c>
      <c r="AN67" s="3">
        <v>1</v>
      </c>
      <c r="AO67" s="3">
        <v>1</v>
      </c>
      <c r="AP67" s="3">
        <v>1</v>
      </c>
      <c r="AQ67" s="3">
        <v>1</v>
      </c>
      <c r="AR67" s="8">
        <f t="shared" si="6"/>
        <v>11</v>
      </c>
      <c r="AS67" s="3">
        <v>1</v>
      </c>
      <c r="AT67" s="3">
        <v>1</v>
      </c>
      <c r="AU67" s="3">
        <v>1</v>
      </c>
      <c r="AV67" s="3">
        <v>1</v>
      </c>
      <c r="AW67" s="3">
        <v>1</v>
      </c>
      <c r="AX67" s="3">
        <v>1</v>
      </c>
      <c r="AY67" s="3">
        <v>1</v>
      </c>
      <c r="AZ67" s="3">
        <v>1</v>
      </c>
      <c r="BA67" s="3">
        <v>1</v>
      </c>
      <c r="BB67" s="3">
        <v>1</v>
      </c>
      <c r="BC67" s="3">
        <v>1</v>
      </c>
      <c r="BD67" s="3">
        <f t="shared" si="9"/>
        <v>11</v>
      </c>
      <c r="BE67" s="3">
        <v>1</v>
      </c>
      <c r="BF67" s="3">
        <v>1</v>
      </c>
      <c r="BG67" s="3">
        <v>1</v>
      </c>
      <c r="BH67" s="3">
        <v>1</v>
      </c>
      <c r="BI67" s="3">
        <v>1</v>
      </c>
      <c r="BJ67" s="3">
        <v>1</v>
      </c>
      <c r="BK67" s="3">
        <v>1</v>
      </c>
      <c r="BL67" s="3">
        <v>1</v>
      </c>
      <c r="BM67" s="3">
        <v>1</v>
      </c>
      <c r="BN67" s="3">
        <v>1</v>
      </c>
      <c r="BO67" s="3">
        <v>1</v>
      </c>
      <c r="BP67" s="3">
        <f t="shared" si="10"/>
        <v>11</v>
      </c>
      <c r="BQ67" s="3">
        <v>1</v>
      </c>
      <c r="BR67" s="3">
        <v>1</v>
      </c>
      <c r="BS67" s="3">
        <v>1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>
        <v>1</v>
      </c>
      <c r="BZ67" s="3">
        <f t="shared" si="11"/>
        <v>9</v>
      </c>
      <c r="CA67" s="3">
        <v>1</v>
      </c>
      <c r="CB67" s="3">
        <v>1</v>
      </c>
      <c r="CC67" s="3">
        <v>1</v>
      </c>
      <c r="CD67" s="3">
        <v>1</v>
      </c>
      <c r="CE67" s="3">
        <v>1</v>
      </c>
      <c r="CF67" s="3">
        <v>1</v>
      </c>
      <c r="CG67" s="3">
        <v>1</v>
      </c>
      <c r="CH67" s="3">
        <v>1</v>
      </c>
      <c r="CI67" s="3">
        <v>1</v>
      </c>
      <c r="CJ67" s="3">
        <v>1</v>
      </c>
      <c r="CK67" s="3">
        <v>1</v>
      </c>
      <c r="CL67" s="3">
        <v>1</v>
      </c>
      <c r="CM67" s="3">
        <f t="shared" si="12"/>
        <v>12</v>
      </c>
    </row>
    <row r="68" spans="1:91" ht="18" x14ac:dyDescent="0.35">
      <c r="A68" s="2">
        <v>63</v>
      </c>
      <c r="B68" s="16" t="s">
        <v>160</v>
      </c>
      <c r="C68" s="20" t="s">
        <v>161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8">
        <f t="shared" si="7"/>
        <v>15</v>
      </c>
      <c r="T68" s="3">
        <v>1</v>
      </c>
      <c r="U68" s="3">
        <v>1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1</v>
      </c>
      <c r="AD68" s="3">
        <v>1</v>
      </c>
      <c r="AE68" s="3">
        <v>1</v>
      </c>
      <c r="AF68" s="8">
        <f t="shared" si="8"/>
        <v>12</v>
      </c>
      <c r="AG68" s="3">
        <v>1</v>
      </c>
      <c r="AH68" s="3">
        <v>1</v>
      </c>
      <c r="AI68" s="3">
        <v>1</v>
      </c>
      <c r="AJ68" s="3">
        <v>1</v>
      </c>
      <c r="AK68" s="3">
        <v>1</v>
      </c>
      <c r="AL68" s="3">
        <v>1</v>
      </c>
      <c r="AM68" s="3">
        <v>1</v>
      </c>
      <c r="AN68" s="3">
        <v>1</v>
      </c>
      <c r="AO68" s="3">
        <v>1</v>
      </c>
      <c r="AP68" s="3">
        <v>1</v>
      </c>
      <c r="AQ68" s="3">
        <v>1</v>
      </c>
      <c r="AR68" s="8">
        <f t="shared" si="6"/>
        <v>11</v>
      </c>
      <c r="AS68" s="3">
        <v>1</v>
      </c>
      <c r="AT68" s="3">
        <v>1</v>
      </c>
      <c r="AU68" s="3">
        <v>1</v>
      </c>
      <c r="AV68" s="3">
        <v>1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3">
        <v>1</v>
      </c>
      <c r="BD68" s="3">
        <f t="shared" si="9"/>
        <v>11</v>
      </c>
      <c r="BE68" s="3">
        <v>1</v>
      </c>
      <c r="BF68" s="3">
        <v>1</v>
      </c>
      <c r="BG68" s="3">
        <v>1</v>
      </c>
      <c r="BH68" s="3">
        <v>1</v>
      </c>
      <c r="BI68" s="3">
        <v>1</v>
      </c>
      <c r="BJ68" s="3">
        <v>1</v>
      </c>
      <c r="BK68" s="3">
        <v>1</v>
      </c>
      <c r="BL68" s="3">
        <v>1</v>
      </c>
      <c r="BM68" s="3">
        <v>1</v>
      </c>
      <c r="BN68" s="3">
        <v>1</v>
      </c>
      <c r="BO68" s="3">
        <v>1</v>
      </c>
      <c r="BP68" s="3">
        <f t="shared" si="10"/>
        <v>11</v>
      </c>
      <c r="BQ68" s="3">
        <v>1</v>
      </c>
      <c r="BR68" s="3">
        <v>1</v>
      </c>
      <c r="BS68" s="3">
        <v>1</v>
      </c>
      <c r="BT68" s="3">
        <v>1</v>
      </c>
      <c r="BU68" s="3">
        <v>1</v>
      </c>
      <c r="BV68" s="3">
        <v>1</v>
      </c>
      <c r="BW68" s="3">
        <v>1</v>
      </c>
      <c r="BX68" s="3">
        <v>1</v>
      </c>
      <c r="BY68" s="3">
        <v>1</v>
      </c>
      <c r="BZ68" s="3">
        <f t="shared" si="11"/>
        <v>9</v>
      </c>
      <c r="CA68" s="3">
        <v>1</v>
      </c>
      <c r="CB68" s="3">
        <v>1</v>
      </c>
      <c r="CC68" s="3">
        <v>1</v>
      </c>
      <c r="CD68" s="3">
        <v>1</v>
      </c>
      <c r="CE68" s="3">
        <v>1</v>
      </c>
      <c r="CF68" s="3">
        <v>1</v>
      </c>
      <c r="CG68" s="3">
        <v>1</v>
      </c>
      <c r="CH68" s="3">
        <v>1</v>
      </c>
      <c r="CI68" s="3">
        <v>1</v>
      </c>
      <c r="CJ68" s="3">
        <v>1</v>
      </c>
      <c r="CK68" s="3">
        <v>1</v>
      </c>
      <c r="CL68" s="3">
        <v>1</v>
      </c>
      <c r="CM68" s="3">
        <f t="shared" si="12"/>
        <v>12</v>
      </c>
    </row>
    <row r="69" spans="1:91" ht="18" x14ac:dyDescent="0.35">
      <c r="A69" s="2">
        <v>64</v>
      </c>
      <c r="B69" s="16" t="s">
        <v>162</v>
      </c>
      <c r="C69" s="20" t="s">
        <v>163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8">
        <f t="shared" ref="S69:S70" si="13">SUM(D69:R69)</f>
        <v>15</v>
      </c>
      <c r="T69" s="3">
        <v>1</v>
      </c>
      <c r="U69" s="3">
        <v>1</v>
      </c>
      <c r="V69" s="3">
        <v>1</v>
      </c>
      <c r="W69" s="3">
        <v>1</v>
      </c>
      <c r="X69" s="3">
        <v>1</v>
      </c>
      <c r="Y69" s="3">
        <v>1</v>
      </c>
      <c r="Z69" s="3">
        <v>1</v>
      </c>
      <c r="AA69" s="3">
        <v>1</v>
      </c>
      <c r="AB69" s="3">
        <v>1</v>
      </c>
      <c r="AC69" s="3">
        <v>1</v>
      </c>
      <c r="AD69" s="3">
        <v>1</v>
      </c>
      <c r="AE69" s="3">
        <v>1</v>
      </c>
      <c r="AF69" s="8">
        <f t="shared" ref="AF69:AF70" si="14">SUM(T69:AE69)</f>
        <v>12</v>
      </c>
      <c r="AG69" s="3">
        <v>1</v>
      </c>
      <c r="AH69" s="3">
        <v>1</v>
      </c>
      <c r="AI69" s="3">
        <v>1</v>
      </c>
      <c r="AJ69" s="3">
        <v>1</v>
      </c>
      <c r="AK69" s="3">
        <v>1</v>
      </c>
      <c r="AL69" s="3">
        <v>1</v>
      </c>
      <c r="AM69" s="3">
        <v>1</v>
      </c>
      <c r="AN69" s="3">
        <v>1</v>
      </c>
      <c r="AO69" s="3">
        <v>1</v>
      </c>
      <c r="AP69" s="3">
        <v>1</v>
      </c>
      <c r="AQ69" s="3">
        <v>1</v>
      </c>
      <c r="AR69" s="8">
        <f t="shared" si="6"/>
        <v>11</v>
      </c>
      <c r="AS69" s="3">
        <v>1</v>
      </c>
      <c r="AT69" s="3">
        <v>1</v>
      </c>
      <c r="AU69" s="3">
        <v>1</v>
      </c>
      <c r="AV69" s="3">
        <v>1</v>
      </c>
      <c r="AW69" s="3">
        <v>1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 s="3">
        <v>1</v>
      </c>
      <c r="BD69" s="3">
        <f t="shared" ref="BD69:BD70" si="15">SUM(AS69:BC69)</f>
        <v>11</v>
      </c>
      <c r="BE69" s="3">
        <v>1</v>
      </c>
      <c r="BF69" s="3">
        <v>1</v>
      </c>
      <c r="BG69" s="3">
        <v>1</v>
      </c>
      <c r="BH69" s="3">
        <v>1</v>
      </c>
      <c r="BI69" s="3">
        <v>1</v>
      </c>
      <c r="BJ69" s="3">
        <v>1</v>
      </c>
      <c r="BK69" s="3">
        <v>1</v>
      </c>
      <c r="BL69" s="3">
        <v>1</v>
      </c>
      <c r="BM69" s="3">
        <v>1</v>
      </c>
      <c r="BN69" s="3">
        <v>1</v>
      </c>
      <c r="BO69" s="3">
        <v>1</v>
      </c>
      <c r="BP69" s="3">
        <f t="shared" ref="BP69:BP70" si="16">SUM(BE69:BO69)</f>
        <v>11</v>
      </c>
      <c r="BQ69" s="3">
        <v>1</v>
      </c>
      <c r="BR69" s="3">
        <v>1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>
        <v>1</v>
      </c>
      <c r="BZ69" s="3">
        <f t="shared" ref="BZ69:BZ70" si="17">SUM(BQ69:BY69)</f>
        <v>9</v>
      </c>
      <c r="CA69" s="3">
        <v>1</v>
      </c>
      <c r="CB69" s="3">
        <v>1</v>
      </c>
      <c r="CC69" s="3">
        <v>1</v>
      </c>
      <c r="CD69" s="3">
        <v>1</v>
      </c>
      <c r="CE69" s="3">
        <v>1</v>
      </c>
      <c r="CF69" s="3">
        <v>1</v>
      </c>
      <c r="CG69" s="3">
        <v>1</v>
      </c>
      <c r="CH69" s="3">
        <v>1</v>
      </c>
      <c r="CI69" s="3">
        <v>1</v>
      </c>
      <c r="CJ69" s="3">
        <v>1</v>
      </c>
      <c r="CK69" s="3">
        <v>1</v>
      </c>
      <c r="CL69" s="3">
        <v>1</v>
      </c>
      <c r="CM69" s="3">
        <f t="shared" ref="CM69:CM70" si="18">SUM(CA69:CL69)</f>
        <v>12</v>
      </c>
    </row>
    <row r="70" spans="1:91" ht="18" x14ac:dyDescent="0.35">
      <c r="A70" s="2">
        <v>65</v>
      </c>
      <c r="B70" s="17" t="s">
        <v>164</v>
      </c>
      <c r="C70" s="21" t="s">
        <v>165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8">
        <f t="shared" si="13"/>
        <v>15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">
        <v>1</v>
      </c>
      <c r="AF70" s="8">
        <f t="shared" si="14"/>
        <v>12</v>
      </c>
      <c r="AG70" s="3">
        <v>1</v>
      </c>
      <c r="AH70" s="3">
        <v>1</v>
      </c>
      <c r="AI70" s="3">
        <v>1</v>
      </c>
      <c r="AJ70" s="3">
        <v>1</v>
      </c>
      <c r="AK70" s="3">
        <v>1</v>
      </c>
      <c r="AL70" s="3">
        <v>1</v>
      </c>
      <c r="AM70" s="3">
        <v>1</v>
      </c>
      <c r="AN70" s="3">
        <v>1</v>
      </c>
      <c r="AO70" s="3">
        <v>1</v>
      </c>
      <c r="AP70" s="3">
        <v>1</v>
      </c>
      <c r="AQ70" s="3">
        <v>1</v>
      </c>
      <c r="AR70" s="8">
        <f t="shared" ref="AR70" si="19">SUM(AG70:AQ70)</f>
        <v>11</v>
      </c>
      <c r="AS70" s="3">
        <v>1</v>
      </c>
      <c r="AT70" s="3">
        <v>1</v>
      </c>
      <c r="AU70" s="3">
        <v>1</v>
      </c>
      <c r="AV70" s="3">
        <v>1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 s="3">
        <v>1</v>
      </c>
      <c r="BD70" s="3">
        <f t="shared" si="15"/>
        <v>11</v>
      </c>
      <c r="BE70" s="3">
        <v>1</v>
      </c>
      <c r="BF70" s="3">
        <v>1</v>
      </c>
      <c r="BG70" s="3">
        <v>1</v>
      </c>
      <c r="BH70" s="3">
        <v>1</v>
      </c>
      <c r="BI70" s="3">
        <v>1</v>
      </c>
      <c r="BJ70" s="3">
        <v>1</v>
      </c>
      <c r="BK70" s="3">
        <v>1</v>
      </c>
      <c r="BL70" s="3">
        <v>1</v>
      </c>
      <c r="BM70" s="3">
        <v>1</v>
      </c>
      <c r="BN70" s="3">
        <v>1</v>
      </c>
      <c r="BO70" s="3">
        <v>1</v>
      </c>
      <c r="BP70" s="3">
        <f t="shared" si="16"/>
        <v>11</v>
      </c>
      <c r="BQ70" s="3">
        <v>1</v>
      </c>
      <c r="BR70" s="3">
        <v>1</v>
      </c>
      <c r="BS70" s="3">
        <v>1</v>
      </c>
      <c r="BT70" s="3">
        <v>1</v>
      </c>
      <c r="BU70" s="3">
        <v>1</v>
      </c>
      <c r="BV70" s="3">
        <v>1</v>
      </c>
      <c r="BW70" s="3">
        <v>1</v>
      </c>
      <c r="BX70" s="3">
        <v>1</v>
      </c>
      <c r="BY70" s="3">
        <v>1</v>
      </c>
      <c r="BZ70" s="3">
        <f t="shared" si="17"/>
        <v>9</v>
      </c>
      <c r="CA70" s="3">
        <v>1</v>
      </c>
      <c r="CB70" s="3">
        <v>1</v>
      </c>
      <c r="CC70" s="3">
        <v>1</v>
      </c>
      <c r="CD70" s="3">
        <v>1</v>
      </c>
      <c r="CE70" s="3">
        <v>1</v>
      </c>
      <c r="CF70" s="3">
        <v>1</v>
      </c>
      <c r="CG70" s="3">
        <v>1</v>
      </c>
      <c r="CH70" s="3">
        <v>1</v>
      </c>
      <c r="CI70" s="3">
        <v>1</v>
      </c>
      <c r="CJ70" s="3">
        <v>1</v>
      </c>
      <c r="CK70" s="3">
        <v>1</v>
      </c>
      <c r="CL70" s="3">
        <v>1</v>
      </c>
      <c r="CM70" s="3">
        <f t="shared" si="18"/>
        <v>12</v>
      </c>
    </row>
  </sheetData>
  <mergeCells count="17">
    <mergeCell ref="BD2:BD3"/>
    <mergeCell ref="AS2:BC2"/>
    <mergeCell ref="A5:B5"/>
    <mergeCell ref="A3:A4"/>
    <mergeCell ref="B3:B4"/>
    <mergeCell ref="S2:S3"/>
    <mergeCell ref="T2:AE2"/>
    <mergeCell ref="AF2:AF3"/>
    <mergeCell ref="AR2:AR3"/>
    <mergeCell ref="D2:R2"/>
    <mergeCell ref="AG2:AQ2"/>
    <mergeCell ref="CM2:CM3"/>
    <mergeCell ref="BE2:BO2"/>
    <mergeCell ref="BP2:BP3"/>
    <mergeCell ref="BQ2:BY2"/>
    <mergeCell ref="BZ2:BZ3"/>
    <mergeCell ref="CA2:CL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0"/>
  <sheetViews>
    <sheetView topLeftCell="AO1" zoomScale="70" zoomScaleNormal="70" workbookViewId="0">
      <selection activeCell="BQ6" sqref="BQ6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2" width="9.109375" style="15" hidden="1" customWidth="1"/>
    <col min="13" max="13" width="9.109375" style="15" customWidth="1"/>
    <col min="14" max="21" width="9.109375" style="15" hidden="1" customWidth="1"/>
    <col min="22" max="22" width="9.109375" style="15" customWidth="1"/>
    <col min="23" max="29" width="9.109375" style="15" hidden="1" customWidth="1"/>
    <col min="30" max="30" width="9.109375" style="15"/>
    <col min="31" max="40" width="9.109375" style="15" hidden="1" customWidth="1"/>
    <col min="41" max="41" width="9.109375" style="15"/>
    <col min="42" max="48" width="9.109375" style="15" customWidth="1"/>
    <col min="49" max="49" width="9.109375" style="15"/>
    <col min="50" max="56" width="9.109375" style="15" customWidth="1"/>
    <col min="57" max="57" width="9.109375" style="15"/>
    <col min="58" max="64" width="9.109375" style="15" customWidth="1"/>
    <col min="65" max="16384" width="9.109375" style="15"/>
  </cols>
  <sheetData>
    <row r="1" spans="1:69" ht="15.75" thickBot="1" x14ac:dyDescent="0.3"/>
    <row r="2" spans="1:69" ht="15.75" customHeight="1" thickBot="1" x14ac:dyDescent="0.3">
      <c r="D2" s="64" t="s">
        <v>35</v>
      </c>
      <c r="E2" s="64"/>
      <c r="F2" s="64"/>
      <c r="G2" s="64"/>
      <c r="H2" s="64"/>
      <c r="I2" s="64"/>
      <c r="J2" s="64"/>
      <c r="K2" s="64"/>
      <c r="L2" s="64"/>
      <c r="M2" s="60" t="s">
        <v>16</v>
      </c>
      <c r="N2" s="63" t="s">
        <v>7</v>
      </c>
      <c r="O2" s="63"/>
      <c r="P2" s="63"/>
      <c r="Q2" s="63"/>
      <c r="R2" s="63"/>
      <c r="S2" s="63"/>
      <c r="T2" s="63"/>
      <c r="U2" s="63"/>
      <c r="V2" s="60" t="s">
        <v>17</v>
      </c>
      <c r="W2" s="64" t="s">
        <v>7</v>
      </c>
      <c r="X2" s="64"/>
      <c r="Y2" s="64"/>
      <c r="Z2" s="64"/>
      <c r="AA2" s="64"/>
      <c r="AB2" s="64"/>
      <c r="AC2" s="64"/>
      <c r="AD2" s="60" t="s">
        <v>18</v>
      </c>
      <c r="AE2" s="56" t="s">
        <v>14</v>
      </c>
      <c r="AF2" s="53"/>
      <c r="AG2" s="53"/>
      <c r="AH2" s="53"/>
      <c r="AI2" s="53"/>
      <c r="AJ2" s="53"/>
      <c r="AK2" s="53"/>
      <c r="AL2" s="53"/>
      <c r="AM2" s="53"/>
      <c r="AN2" s="53"/>
      <c r="AO2" s="52" t="s">
        <v>19</v>
      </c>
      <c r="AP2" s="53" t="s">
        <v>14</v>
      </c>
      <c r="AQ2" s="53"/>
      <c r="AR2" s="53"/>
      <c r="AS2" s="53"/>
      <c r="AT2" s="53"/>
      <c r="AU2" s="53"/>
      <c r="AV2" s="53"/>
      <c r="AW2" s="54" t="s">
        <v>168</v>
      </c>
      <c r="AX2" s="53" t="s">
        <v>15</v>
      </c>
      <c r="AY2" s="53"/>
      <c r="AZ2" s="53"/>
      <c r="BA2" s="53"/>
      <c r="BB2" s="53"/>
      <c r="BC2" s="53"/>
      <c r="BD2" s="53"/>
      <c r="BE2" s="52" t="s">
        <v>169</v>
      </c>
      <c r="BF2" s="53" t="s">
        <v>15</v>
      </c>
      <c r="BG2" s="53"/>
      <c r="BH2" s="53"/>
      <c r="BI2" s="53"/>
      <c r="BJ2" s="53"/>
      <c r="BK2" s="53"/>
      <c r="BL2" s="53"/>
      <c r="BM2" s="52" t="s">
        <v>170</v>
      </c>
    </row>
    <row r="3" spans="1:69" x14ac:dyDescent="0.25">
      <c r="A3" s="58"/>
      <c r="B3" s="59"/>
      <c r="C3" s="29"/>
      <c r="D3" s="4" t="s">
        <v>13</v>
      </c>
      <c r="E3" s="4" t="s">
        <v>13</v>
      </c>
      <c r="F3" s="4" t="s">
        <v>8</v>
      </c>
      <c r="G3" s="4" t="s">
        <v>9</v>
      </c>
      <c r="H3" s="4" t="s">
        <v>9</v>
      </c>
      <c r="I3" s="4" t="s">
        <v>13</v>
      </c>
      <c r="J3" s="4" t="s">
        <v>13</v>
      </c>
      <c r="K3" s="4" t="s">
        <v>8</v>
      </c>
      <c r="L3" s="4" t="s">
        <v>9</v>
      </c>
      <c r="M3" s="61"/>
      <c r="N3" s="4" t="s">
        <v>13</v>
      </c>
      <c r="O3" s="4" t="s">
        <v>13</v>
      </c>
      <c r="P3" s="4" t="s">
        <v>8</v>
      </c>
      <c r="Q3" s="4" t="s">
        <v>9</v>
      </c>
      <c r="R3" s="4" t="s">
        <v>13</v>
      </c>
      <c r="S3" s="4" t="s">
        <v>13</v>
      </c>
      <c r="T3" s="4" t="s">
        <v>8</v>
      </c>
      <c r="U3" s="4" t="s">
        <v>9</v>
      </c>
      <c r="V3" s="61"/>
      <c r="W3" s="4" t="s">
        <v>13</v>
      </c>
      <c r="X3" s="4" t="s">
        <v>13</v>
      </c>
      <c r="Y3" s="4" t="s">
        <v>8</v>
      </c>
      <c r="Z3" s="4" t="s">
        <v>9</v>
      </c>
      <c r="AA3" s="4" t="s">
        <v>13</v>
      </c>
      <c r="AB3" s="4" t="s">
        <v>13</v>
      </c>
      <c r="AC3" s="4" t="s">
        <v>8</v>
      </c>
      <c r="AD3" s="61"/>
      <c r="AE3" s="30" t="s">
        <v>6</v>
      </c>
      <c r="AF3" s="31" t="s">
        <v>6</v>
      </c>
      <c r="AG3" s="30" t="s">
        <v>1</v>
      </c>
      <c r="AH3" s="30" t="s">
        <v>2</v>
      </c>
      <c r="AI3" s="31" t="s">
        <v>6</v>
      </c>
      <c r="AJ3" s="30" t="s">
        <v>6</v>
      </c>
      <c r="AK3" s="30" t="s">
        <v>1</v>
      </c>
      <c r="AL3" s="30" t="s">
        <v>2</v>
      </c>
      <c r="AM3" s="31" t="s">
        <v>6</v>
      </c>
      <c r="AN3" s="30" t="s">
        <v>6</v>
      </c>
      <c r="AO3" s="52"/>
      <c r="AP3" s="34" t="s">
        <v>1</v>
      </c>
      <c r="AQ3" s="34" t="s">
        <v>2</v>
      </c>
      <c r="AR3" s="34" t="s">
        <v>4</v>
      </c>
      <c r="AS3" s="34" t="s">
        <v>6</v>
      </c>
      <c r="AT3" s="34" t="s">
        <v>1</v>
      </c>
      <c r="AU3" s="34" t="s">
        <v>2</v>
      </c>
      <c r="AV3" s="34" t="s">
        <v>3</v>
      </c>
      <c r="AW3" s="55"/>
      <c r="AX3" s="34" t="s">
        <v>6</v>
      </c>
      <c r="AY3" s="34" t="s">
        <v>6</v>
      </c>
      <c r="AZ3" s="34" t="s">
        <v>1</v>
      </c>
      <c r="BA3" s="34" t="s">
        <v>2</v>
      </c>
      <c r="BB3" s="34" t="s">
        <v>6</v>
      </c>
      <c r="BC3" s="34" t="s">
        <v>6</v>
      </c>
      <c r="BD3" s="34" t="s">
        <v>2</v>
      </c>
      <c r="BE3" s="52"/>
      <c r="BF3" s="34" t="s">
        <v>2</v>
      </c>
      <c r="BG3" s="34" t="s">
        <v>3</v>
      </c>
      <c r="BH3" s="34" t="s">
        <v>4</v>
      </c>
      <c r="BI3" s="34" t="s">
        <v>6</v>
      </c>
      <c r="BJ3" s="34" t="s">
        <v>6</v>
      </c>
      <c r="BK3" s="34" t="s">
        <v>1</v>
      </c>
      <c r="BL3" s="34" t="s">
        <v>2</v>
      </c>
      <c r="BM3" s="52"/>
    </row>
    <row r="4" spans="1:69" x14ac:dyDescent="0.25">
      <c r="A4" s="58"/>
      <c r="B4" s="59"/>
      <c r="C4" s="35" t="s">
        <v>167</v>
      </c>
      <c r="D4" s="6">
        <v>14</v>
      </c>
      <c r="E4" s="6">
        <v>14</v>
      </c>
      <c r="F4" s="6">
        <v>15</v>
      </c>
      <c r="G4" s="6">
        <v>16</v>
      </c>
      <c r="H4" s="6">
        <v>23</v>
      </c>
      <c r="I4" s="6">
        <v>28</v>
      </c>
      <c r="J4" s="6">
        <v>28</v>
      </c>
      <c r="K4" s="6">
        <v>29</v>
      </c>
      <c r="L4" s="6">
        <v>30</v>
      </c>
      <c r="M4" s="6"/>
      <c r="N4" s="31">
        <v>4</v>
      </c>
      <c r="O4" s="30">
        <v>4</v>
      </c>
      <c r="P4" s="30">
        <v>5</v>
      </c>
      <c r="Q4" s="30">
        <v>6</v>
      </c>
      <c r="R4" s="31">
        <v>11</v>
      </c>
      <c r="S4" s="30">
        <v>11</v>
      </c>
      <c r="T4" s="30">
        <v>12</v>
      </c>
      <c r="U4" s="30">
        <v>13</v>
      </c>
      <c r="V4" s="30"/>
      <c r="W4" s="30">
        <v>18</v>
      </c>
      <c r="X4" s="31">
        <v>18</v>
      </c>
      <c r="Y4" s="30">
        <v>19</v>
      </c>
      <c r="Z4" s="30">
        <v>20</v>
      </c>
      <c r="AA4" s="31">
        <v>25</v>
      </c>
      <c r="AB4" s="30">
        <v>25</v>
      </c>
      <c r="AC4" s="30">
        <v>26</v>
      </c>
      <c r="AD4" s="27"/>
      <c r="AE4" s="30">
        <v>1</v>
      </c>
      <c r="AF4" s="31">
        <v>1</v>
      </c>
      <c r="AG4" s="30">
        <v>2</v>
      </c>
      <c r="AH4" s="30">
        <v>3</v>
      </c>
      <c r="AI4" s="31">
        <v>8</v>
      </c>
      <c r="AJ4" s="30">
        <v>8</v>
      </c>
      <c r="AK4" s="30">
        <v>9</v>
      </c>
      <c r="AL4" s="30">
        <v>10</v>
      </c>
      <c r="AM4" s="31">
        <v>15</v>
      </c>
      <c r="AN4" s="30">
        <v>15</v>
      </c>
      <c r="AO4" s="7"/>
      <c r="AP4" s="34">
        <v>16</v>
      </c>
      <c r="AQ4" s="34">
        <v>17</v>
      </c>
      <c r="AR4" s="34">
        <v>19</v>
      </c>
      <c r="AS4" s="34">
        <v>22</v>
      </c>
      <c r="AT4" s="34">
        <v>23</v>
      </c>
      <c r="AU4" s="34">
        <v>24</v>
      </c>
      <c r="AV4" s="34">
        <v>25</v>
      </c>
      <c r="AW4" s="7"/>
      <c r="AX4" s="34">
        <v>6</v>
      </c>
      <c r="AY4" s="34">
        <v>6</v>
      </c>
      <c r="AZ4" s="34">
        <v>7</v>
      </c>
      <c r="BA4" s="34">
        <v>8</v>
      </c>
      <c r="BB4" s="34">
        <v>13</v>
      </c>
      <c r="BC4" s="34">
        <v>13</v>
      </c>
      <c r="BD4" s="34">
        <v>15</v>
      </c>
      <c r="BE4" s="7"/>
      <c r="BF4" s="34">
        <v>22</v>
      </c>
      <c r="BG4" s="34">
        <v>23</v>
      </c>
      <c r="BH4" s="34">
        <v>24</v>
      </c>
      <c r="BI4" s="34">
        <v>27</v>
      </c>
      <c r="BJ4" s="34">
        <v>27</v>
      </c>
      <c r="BK4" s="34">
        <v>28</v>
      </c>
      <c r="BL4" s="34">
        <v>29</v>
      </c>
      <c r="BM4" s="7"/>
    </row>
    <row r="5" spans="1:69" s="26" customFormat="1" ht="21" customHeight="1" x14ac:dyDescent="0.25">
      <c r="A5" s="57" t="s">
        <v>0</v>
      </c>
      <c r="B5" s="57"/>
      <c r="C5" s="28"/>
      <c r="D5" s="24">
        <v>1</v>
      </c>
      <c r="E5" s="24">
        <v>1</v>
      </c>
      <c r="F5" s="24">
        <v>1</v>
      </c>
      <c r="G5" s="24">
        <v>1</v>
      </c>
      <c r="H5" s="25">
        <v>1</v>
      </c>
      <c r="I5" s="25">
        <v>1</v>
      </c>
      <c r="J5" s="25">
        <v>1</v>
      </c>
      <c r="K5" s="25">
        <v>1</v>
      </c>
      <c r="L5" s="25">
        <v>1</v>
      </c>
      <c r="M5" s="25">
        <f t="shared" ref="M5:M68" si="0">SUM(D5:L5)</f>
        <v>9</v>
      </c>
      <c r="N5" s="25">
        <v>1</v>
      </c>
      <c r="O5" s="25">
        <v>1</v>
      </c>
      <c r="P5" s="25">
        <v>1</v>
      </c>
      <c r="Q5" s="25">
        <v>1</v>
      </c>
      <c r="R5" s="25">
        <v>1</v>
      </c>
      <c r="S5" s="25">
        <v>1</v>
      </c>
      <c r="T5" s="25">
        <v>1</v>
      </c>
      <c r="U5" s="25">
        <v>1</v>
      </c>
      <c r="V5" s="25">
        <f t="shared" ref="V5:V68" si="1">SUM(N5:U5)</f>
        <v>8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B5" s="25">
        <v>1</v>
      </c>
      <c r="AC5" s="25">
        <v>1</v>
      </c>
      <c r="AD5" s="25">
        <f t="shared" ref="AD5:AD68" si="2">SUM(W5:AC5)</f>
        <v>7</v>
      </c>
      <c r="AE5" s="25">
        <v>1</v>
      </c>
      <c r="AF5" s="25">
        <v>1</v>
      </c>
      <c r="AG5" s="24">
        <v>1</v>
      </c>
      <c r="AH5" s="25">
        <v>1</v>
      </c>
      <c r="AI5" s="24">
        <v>1</v>
      </c>
      <c r="AJ5" s="24">
        <v>1</v>
      </c>
      <c r="AK5" s="25">
        <v>1</v>
      </c>
      <c r="AL5" s="24">
        <v>1</v>
      </c>
      <c r="AM5" s="25">
        <v>1</v>
      </c>
      <c r="AN5" s="25">
        <v>1</v>
      </c>
      <c r="AO5" s="28">
        <f t="shared" ref="AO5:AO37" si="3">SUM(AE5:AN5)</f>
        <v>10</v>
      </c>
      <c r="AP5" s="24">
        <v>1</v>
      </c>
      <c r="AQ5" s="25">
        <v>1</v>
      </c>
      <c r="AR5" s="24">
        <v>1</v>
      </c>
      <c r="AS5" s="25">
        <v>1</v>
      </c>
      <c r="AT5" s="25">
        <v>1</v>
      </c>
      <c r="AU5" s="24">
        <v>1</v>
      </c>
      <c r="AV5" s="25">
        <v>1</v>
      </c>
      <c r="AW5" s="33">
        <f t="shared" ref="AW5:AW36" si="4">SUM(AP5:AV5)</f>
        <v>7</v>
      </c>
      <c r="AX5" s="24">
        <v>1</v>
      </c>
      <c r="AY5" s="24">
        <v>1</v>
      </c>
      <c r="AZ5" s="24">
        <v>1</v>
      </c>
      <c r="BA5" s="25">
        <v>1</v>
      </c>
      <c r="BB5" s="24">
        <v>1</v>
      </c>
      <c r="BC5" s="25">
        <v>1</v>
      </c>
      <c r="BD5" s="24">
        <v>1</v>
      </c>
      <c r="BE5" s="33">
        <f t="shared" ref="BE5:BE36" si="5">SUM(AX5:BD5)</f>
        <v>7</v>
      </c>
      <c r="BF5" s="24">
        <v>1</v>
      </c>
      <c r="BG5" s="25">
        <v>1</v>
      </c>
      <c r="BH5" s="24">
        <v>1</v>
      </c>
      <c r="BI5" s="24">
        <v>1</v>
      </c>
      <c r="BJ5" s="24">
        <v>1</v>
      </c>
      <c r="BK5" s="24">
        <v>1</v>
      </c>
      <c r="BL5" s="24">
        <v>1</v>
      </c>
      <c r="BM5" s="33">
        <f t="shared" ref="BM5:BM36" si="6">SUM(BF5:BL5)</f>
        <v>7</v>
      </c>
      <c r="BP5" s="28">
        <f>M5+V5+AD5+AO5+AW5+BE5+BM5</f>
        <v>55</v>
      </c>
      <c r="BQ5" s="28"/>
    </row>
    <row r="6" spans="1:69" ht="18.75" x14ac:dyDescent="0.3">
      <c r="A6" s="2">
        <v>1</v>
      </c>
      <c r="B6" s="16" t="s">
        <v>36</v>
      </c>
      <c r="C6" s="20" t="s">
        <v>37</v>
      </c>
      <c r="D6" s="3">
        <v>1</v>
      </c>
      <c r="E6" s="3">
        <v>1</v>
      </c>
      <c r="F6" s="3">
        <v>0</v>
      </c>
      <c r="G6" s="3">
        <v>1</v>
      </c>
      <c r="H6" s="3">
        <v>0</v>
      </c>
      <c r="I6" s="3">
        <v>1</v>
      </c>
      <c r="J6" s="3">
        <v>1</v>
      </c>
      <c r="K6" s="3">
        <v>1</v>
      </c>
      <c r="L6" s="3">
        <v>0</v>
      </c>
      <c r="M6" s="39">
        <f t="shared" si="0"/>
        <v>6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9">
        <f t="shared" si="1"/>
        <v>8</v>
      </c>
      <c r="W6" s="3">
        <v>1</v>
      </c>
      <c r="X6" s="3">
        <v>1</v>
      </c>
      <c r="Y6" s="3">
        <v>0</v>
      </c>
      <c r="Z6" s="3">
        <v>1</v>
      </c>
      <c r="AA6" s="3">
        <v>1</v>
      </c>
      <c r="AB6" s="3">
        <v>1</v>
      </c>
      <c r="AC6" s="3">
        <v>1</v>
      </c>
      <c r="AD6" s="39">
        <f t="shared" si="2"/>
        <v>6</v>
      </c>
      <c r="AE6" s="3">
        <v>1</v>
      </c>
      <c r="AF6" s="3">
        <v>1</v>
      </c>
      <c r="AG6" s="3">
        <v>0</v>
      </c>
      <c r="AH6" s="3">
        <v>0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40">
        <f t="shared" si="3"/>
        <v>8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43">
        <f t="shared" si="4"/>
        <v>7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43">
        <f t="shared" si="5"/>
        <v>7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40">
        <f t="shared" si="6"/>
        <v>7</v>
      </c>
      <c r="BP6" s="22">
        <f>M6+V6+AD6+AO6+AW6+BE6+BM6</f>
        <v>49</v>
      </c>
      <c r="BQ6" s="22">
        <f>BP6/55*100</f>
        <v>89.090909090909093</v>
      </c>
    </row>
    <row r="7" spans="1:69" ht="18.75" x14ac:dyDescent="0.3">
      <c r="A7" s="2">
        <v>2</v>
      </c>
      <c r="B7" s="16" t="s">
        <v>38</v>
      </c>
      <c r="C7" s="20" t="s">
        <v>39</v>
      </c>
      <c r="D7" s="3">
        <v>1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9">
        <f t="shared" si="0"/>
        <v>8</v>
      </c>
      <c r="N7" s="3">
        <v>1</v>
      </c>
      <c r="O7" s="3">
        <v>1</v>
      </c>
      <c r="P7" s="3">
        <v>0</v>
      </c>
      <c r="Q7" s="3">
        <v>0</v>
      </c>
      <c r="R7" s="3">
        <v>1</v>
      </c>
      <c r="S7" s="3">
        <v>1</v>
      </c>
      <c r="T7" s="3">
        <v>1</v>
      </c>
      <c r="U7" s="3">
        <v>1</v>
      </c>
      <c r="V7" s="39">
        <f t="shared" si="1"/>
        <v>6</v>
      </c>
      <c r="W7" s="3">
        <v>1</v>
      </c>
      <c r="X7" s="3">
        <v>1</v>
      </c>
      <c r="Y7" s="3">
        <v>0</v>
      </c>
      <c r="Z7" s="3">
        <v>1</v>
      </c>
      <c r="AA7" s="3">
        <v>1</v>
      </c>
      <c r="AB7" s="3">
        <v>1</v>
      </c>
      <c r="AC7" s="3">
        <v>1</v>
      </c>
      <c r="AD7" s="39">
        <f t="shared" si="2"/>
        <v>6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40">
        <f t="shared" si="3"/>
        <v>10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43">
        <f t="shared" si="4"/>
        <v>7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43">
        <f t="shared" si="5"/>
        <v>7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40">
        <f t="shared" si="6"/>
        <v>7</v>
      </c>
      <c r="BP7" s="22">
        <f t="shared" ref="BP7:BP70" si="7">M7+V7+AD7+AO7+AW7+BE7+BM7</f>
        <v>51</v>
      </c>
      <c r="BQ7" s="22">
        <f t="shared" ref="BQ7:BQ70" si="8">BP7/55*100</f>
        <v>92.72727272727272</v>
      </c>
    </row>
    <row r="8" spans="1:69" ht="18.75" x14ac:dyDescent="0.3">
      <c r="A8" s="2">
        <v>3</v>
      </c>
      <c r="B8" s="16" t="s">
        <v>40</v>
      </c>
      <c r="C8" s="20" t="s">
        <v>41</v>
      </c>
      <c r="D8" s="3">
        <v>1</v>
      </c>
      <c r="E8" s="3">
        <v>1</v>
      </c>
      <c r="F8" s="3">
        <v>0</v>
      </c>
      <c r="G8" s="3">
        <v>1</v>
      </c>
      <c r="H8" s="3">
        <v>0</v>
      </c>
      <c r="I8" s="3">
        <v>1</v>
      </c>
      <c r="J8" s="3">
        <v>1</v>
      </c>
      <c r="K8" s="3">
        <v>1</v>
      </c>
      <c r="L8" s="3">
        <v>0</v>
      </c>
      <c r="M8" s="39">
        <f t="shared" si="0"/>
        <v>6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9">
        <f t="shared" si="1"/>
        <v>8</v>
      </c>
      <c r="W8" s="3">
        <v>1</v>
      </c>
      <c r="X8" s="3">
        <v>1</v>
      </c>
      <c r="Y8" s="3">
        <v>0</v>
      </c>
      <c r="Z8" s="3">
        <v>1</v>
      </c>
      <c r="AA8" s="3">
        <v>1</v>
      </c>
      <c r="AB8" s="3">
        <v>1</v>
      </c>
      <c r="AC8" s="3">
        <v>1</v>
      </c>
      <c r="AD8" s="39">
        <f t="shared" si="2"/>
        <v>6</v>
      </c>
      <c r="AE8" s="3">
        <v>1</v>
      </c>
      <c r="AF8" s="3">
        <v>1</v>
      </c>
      <c r="AG8" s="3">
        <v>0</v>
      </c>
      <c r="AH8" s="3">
        <v>0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40">
        <f t="shared" si="3"/>
        <v>8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43">
        <f t="shared" si="4"/>
        <v>7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43">
        <f t="shared" si="5"/>
        <v>7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40">
        <f t="shared" si="6"/>
        <v>7</v>
      </c>
      <c r="BP8" s="22">
        <f t="shared" si="7"/>
        <v>49</v>
      </c>
      <c r="BQ8" s="22">
        <f t="shared" si="8"/>
        <v>89.090909090909093</v>
      </c>
    </row>
    <row r="9" spans="1:69" ht="18.75" x14ac:dyDescent="0.3">
      <c r="A9" s="2">
        <v>4</v>
      </c>
      <c r="B9" s="16" t="s">
        <v>42</v>
      </c>
      <c r="C9" s="20" t="s">
        <v>43</v>
      </c>
      <c r="D9" s="3">
        <v>0</v>
      </c>
      <c r="E9" s="3">
        <v>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9">
        <f t="shared" si="0"/>
        <v>7</v>
      </c>
      <c r="N9" s="3">
        <v>1</v>
      </c>
      <c r="O9" s="3">
        <v>1</v>
      </c>
      <c r="P9" s="3">
        <v>0</v>
      </c>
      <c r="Q9" s="3">
        <v>0</v>
      </c>
      <c r="R9" s="3">
        <v>1</v>
      </c>
      <c r="S9" s="3">
        <v>1</v>
      </c>
      <c r="T9" s="3">
        <v>1</v>
      </c>
      <c r="U9" s="3">
        <v>1</v>
      </c>
      <c r="V9" s="39">
        <f t="shared" si="1"/>
        <v>6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9">
        <f t="shared" si="2"/>
        <v>7</v>
      </c>
      <c r="AE9" s="3">
        <v>1</v>
      </c>
      <c r="AF9" s="3">
        <v>1</v>
      </c>
      <c r="AG9" s="3">
        <v>0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40">
        <f t="shared" si="3"/>
        <v>9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43">
        <f t="shared" si="4"/>
        <v>7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43">
        <f t="shared" si="5"/>
        <v>7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40">
        <f t="shared" si="6"/>
        <v>7</v>
      </c>
      <c r="BP9" s="22">
        <f t="shared" si="7"/>
        <v>50</v>
      </c>
      <c r="BQ9" s="22">
        <f t="shared" si="8"/>
        <v>90.909090909090907</v>
      </c>
    </row>
    <row r="10" spans="1:69" ht="18.75" x14ac:dyDescent="0.3">
      <c r="A10" s="2">
        <v>5</v>
      </c>
      <c r="B10" s="16" t="s">
        <v>44</v>
      </c>
      <c r="C10" s="20" t="s">
        <v>45</v>
      </c>
      <c r="D10" s="3">
        <v>1</v>
      </c>
      <c r="E10" s="3">
        <v>1</v>
      </c>
      <c r="F10" s="3">
        <v>0</v>
      </c>
      <c r="G10" s="3">
        <v>1</v>
      </c>
      <c r="H10" s="3">
        <v>0</v>
      </c>
      <c r="I10" s="3">
        <v>1</v>
      </c>
      <c r="J10" s="3">
        <v>1</v>
      </c>
      <c r="K10" s="3">
        <v>1</v>
      </c>
      <c r="L10" s="3">
        <v>0</v>
      </c>
      <c r="M10" s="39">
        <f t="shared" si="0"/>
        <v>6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9">
        <f t="shared" si="1"/>
        <v>8</v>
      </c>
      <c r="W10" s="3">
        <v>1</v>
      </c>
      <c r="X10" s="3">
        <v>1</v>
      </c>
      <c r="Y10" s="3">
        <v>0</v>
      </c>
      <c r="Z10" s="3">
        <v>1</v>
      </c>
      <c r="AA10" s="3">
        <v>1</v>
      </c>
      <c r="AB10" s="3">
        <v>1</v>
      </c>
      <c r="AC10" s="3">
        <v>1</v>
      </c>
      <c r="AD10" s="39">
        <f t="shared" si="2"/>
        <v>6</v>
      </c>
      <c r="AE10" s="3">
        <v>1</v>
      </c>
      <c r="AF10" s="3">
        <v>1</v>
      </c>
      <c r="AG10" s="3">
        <v>0</v>
      </c>
      <c r="AH10" s="3">
        <v>0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40">
        <f t="shared" si="3"/>
        <v>8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43">
        <f t="shared" si="4"/>
        <v>7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43">
        <f t="shared" si="5"/>
        <v>7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40">
        <f t="shared" si="6"/>
        <v>7</v>
      </c>
      <c r="BP10" s="22">
        <f t="shared" si="7"/>
        <v>49</v>
      </c>
      <c r="BQ10" s="22">
        <f t="shared" si="8"/>
        <v>89.090909090909093</v>
      </c>
    </row>
    <row r="11" spans="1:69" ht="18.75" x14ac:dyDescent="0.3">
      <c r="A11" s="2">
        <v>6</v>
      </c>
      <c r="B11" s="16" t="s">
        <v>46</v>
      </c>
      <c r="C11" s="20" t="s">
        <v>47</v>
      </c>
      <c r="D11" s="3">
        <v>1</v>
      </c>
      <c r="E11" s="3">
        <v>1</v>
      </c>
      <c r="F11" s="3">
        <v>0</v>
      </c>
      <c r="G11" s="3">
        <v>0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9">
        <f t="shared" si="0"/>
        <v>7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9">
        <f t="shared" si="1"/>
        <v>8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9">
        <f t="shared" si="2"/>
        <v>7</v>
      </c>
      <c r="AE11" s="3">
        <v>1</v>
      </c>
      <c r="AF11" s="3">
        <v>1</v>
      </c>
      <c r="AG11" s="3">
        <v>1</v>
      </c>
      <c r="AH11" s="3">
        <v>0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40">
        <f t="shared" si="3"/>
        <v>9</v>
      </c>
      <c r="AP11" s="3">
        <v>0</v>
      </c>
      <c r="AQ11" s="3">
        <v>1</v>
      </c>
      <c r="AR11" s="3">
        <v>0</v>
      </c>
      <c r="AS11" s="3">
        <v>1</v>
      </c>
      <c r="AT11" s="3">
        <v>0</v>
      </c>
      <c r="AU11" s="3">
        <v>1</v>
      </c>
      <c r="AV11" s="3">
        <v>1</v>
      </c>
      <c r="AW11" s="43">
        <f t="shared" si="4"/>
        <v>4</v>
      </c>
      <c r="AX11" s="3">
        <v>1</v>
      </c>
      <c r="AY11" s="3">
        <v>0</v>
      </c>
      <c r="AZ11" s="3">
        <v>0</v>
      </c>
      <c r="BA11" s="3">
        <v>1</v>
      </c>
      <c r="BB11" s="3">
        <v>0</v>
      </c>
      <c r="BC11" s="3">
        <v>1</v>
      </c>
      <c r="BD11" s="3">
        <v>1</v>
      </c>
      <c r="BE11" s="43">
        <f t="shared" si="5"/>
        <v>4</v>
      </c>
      <c r="BF11" s="3">
        <v>1</v>
      </c>
      <c r="BG11" s="3">
        <v>0</v>
      </c>
      <c r="BH11" s="3">
        <v>1</v>
      </c>
      <c r="BI11" s="3">
        <v>0</v>
      </c>
      <c r="BJ11" s="3">
        <v>0</v>
      </c>
      <c r="BK11" s="3">
        <v>1</v>
      </c>
      <c r="BL11" s="3">
        <v>1</v>
      </c>
      <c r="BM11" s="40">
        <f t="shared" si="6"/>
        <v>4</v>
      </c>
      <c r="BP11" s="22">
        <f t="shared" si="7"/>
        <v>43</v>
      </c>
      <c r="BQ11" s="22">
        <f t="shared" si="8"/>
        <v>78.181818181818187</v>
      </c>
    </row>
    <row r="12" spans="1:69" ht="18.75" x14ac:dyDescent="0.3">
      <c r="A12" s="2">
        <v>7</v>
      </c>
      <c r="B12" s="16" t="s">
        <v>48</v>
      </c>
      <c r="C12" s="20" t="s">
        <v>49</v>
      </c>
      <c r="D12" s="3">
        <v>1</v>
      </c>
      <c r="E12" s="3">
        <v>1</v>
      </c>
      <c r="F12" s="3">
        <v>0</v>
      </c>
      <c r="G12" s="3">
        <v>1</v>
      </c>
      <c r="H12" s="3">
        <v>0</v>
      </c>
      <c r="I12" s="3">
        <v>1</v>
      </c>
      <c r="J12" s="3">
        <v>1</v>
      </c>
      <c r="K12" s="3">
        <v>1</v>
      </c>
      <c r="L12" s="3">
        <v>0</v>
      </c>
      <c r="M12" s="39">
        <f t="shared" si="0"/>
        <v>6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9">
        <f t="shared" si="1"/>
        <v>8</v>
      </c>
      <c r="W12" s="3">
        <v>1</v>
      </c>
      <c r="X12" s="3">
        <v>1</v>
      </c>
      <c r="Y12" s="3">
        <v>0</v>
      </c>
      <c r="Z12" s="3">
        <v>1</v>
      </c>
      <c r="AA12" s="3">
        <v>1</v>
      </c>
      <c r="AB12" s="3">
        <v>1</v>
      </c>
      <c r="AC12" s="3">
        <v>1</v>
      </c>
      <c r="AD12" s="39">
        <f t="shared" si="2"/>
        <v>6</v>
      </c>
      <c r="AE12" s="3">
        <v>1</v>
      </c>
      <c r="AF12" s="3">
        <v>1</v>
      </c>
      <c r="AG12" s="3">
        <v>0</v>
      </c>
      <c r="AH12" s="3">
        <v>0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40">
        <f t="shared" si="3"/>
        <v>8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43">
        <f t="shared" si="4"/>
        <v>7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43">
        <f t="shared" si="5"/>
        <v>7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40">
        <f t="shared" si="6"/>
        <v>7</v>
      </c>
      <c r="BP12" s="22">
        <f t="shared" si="7"/>
        <v>49</v>
      </c>
      <c r="BQ12" s="22">
        <f t="shared" si="8"/>
        <v>89.090909090909093</v>
      </c>
    </row>
    <row r="13" spans="1:69" ht="18.75" x14ac:dyDescent="0.3">
      <c r="A13" s="2">
        <v>8</v>
      </c>
      <c r="B13" s="16" t="s">
        <v>50</v>
      </c>
      <c r="C13" s="20" t="s">
        <v>51</v>
      </c>
      <c r="D13" s="3">
        <v>0</v>
      </c>
      <c r="E13" s="3">
        <v>0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9">
        <f t="shared" si="0"/>
        <v>7</v>
      </c>
      <c r="N13" s="3">
        <v>1</v>
      </c>
      <c r="O13" s="3">
        <v>1</v>
      </c>
      <c r="P13" s="3">
        <v>0</v>
      </c>
      <c r="Q13" s="3">
        <v>0</v>
      </c>
      <c r="R13" s="3">
        <v>1</v>
      </c>
      <c r="S13" s="3">
        <v>1</v>
      </c>
      <c r="T13" s="3">
        <v>1</v>
      </c>
      <c r="U13" s="3">
        <v>1</v>
      </c>
      <c r="V13" s="39">
        <f t="shared" si="1"/>
        <v>6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9">
        <f t="shared" si="2"/>
        <v>7</v>
      </c>
      <c r="AE13" s="3">
        <v>1</v>
      </c>
      <c r="AF13" s="3">
        <v>1</v>
      </c>
      <c r="AG13" s="3">
        <v>0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40">
        <f t="shared" si="3"/>
        <v>9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43">
        <f t="shared" si="4"/>
        <v>7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1</v>
      </c>
      <c r="BD13" s="3">
        <v>1</v>
      </c>
      <c r="BE13" s="43">
        <f t="shared" si="5"/>
        <v>7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40">
        <f t="shared" si="6"/>
        <v>7</v>
      </c>
      <c r="BP13" s="22">
        <f t="shared" si="7"/>
        <v>50</v>
      </c>
      <c r="BQ13" s="22">
        <f t="shared" si="8"/>
        <v>90.909090909090907</v>
      </c>
    </row>
    <row r="14" spans="1:69" ht="18.75" x14ac:dyDescent="0.3">
      <c r="A14" s="2">
        <v>9</v>
      </c>
      <c r="B14" s="16" t="s">
        <v>52</v>
      </c>
      <c r="C14" s="20" t="s">
        <v>53</v>
      </c>
      <c r="D14" s="3">
        <v>1</v>
      </c>
      <c r="E14" s="3">
        <v>1</v>
      </c>
      <c r="F14" s="3">
        <v>0</v>
      </c>
      <c r="G14" s="3">
        <v>1</v>
      </c>
      <c r="H14" s="3">
        <v>0</v>
      </c>
      <c r="I14" s="3">
        <v>1</v>
      </c>
      <c r="J14" s="3">
        <v>1</v>
      </c>
      <c r="K14" s="3">
        <v>1</v>
      </c>
      <c r="L14" s="3">
        <v>0</v>
      </c>
      <c r="M14" s="39">
        <f t="shared" si="0"/>
        <v>6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9">
        <f t="shared" si="1"/>
        <v>8</v>
      </c>
      <c r="W14" s="3">
        <v>1</v>
      </c>
      <c r="X14" s="3">
        <v>1</v>
      </c>
      <c r="Y14" s="3">
        <v>0</v>
      </c>
      <c r="Z14" s="3">
        <v>1</v>
      </c>
      <c r="AA14" s="3">
        <v>1</v>
      </c>
      <c r="AB14" s="3">
        <v>1</v>
      </c>
      <c r="AC14" s="3">
        <v>1</v>
      </c>
      <c r="AD14" s="39">
        <f t="shared" si="2"/>
        <v>6</v>
      </c>
      <c r="AE14" s="3">
        <v>1</v>
      </c>
      <c r="AF14" s="3">
        <v>1</v>
      </c>
      <c r="AG14" s="3">
        <v>0</v>
      </c>
      <c r="AH14" s="3">
        <v>0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40">
        <f t="shared" si="3"/>
        <v>8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43">
        <f t="shared" si="4"/>
        <v>7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43">
        <f t="shared" si="5"/>
        <v>7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40">
        <f t="shared" si="6"/>
        <v>7</v>
      </c>
      <c r="BP14" s="22">
        <f t="shared" si="7"/>
        <v>49</v>
      </c>
      <c r="BQ14" s="22">
        <f t="shared" si="8"/>
        <v>89.090909090909093</v>
      </c>
    </row>
    <row r="15" spans="1:69" ht="18.75" x14ac:dyDescent="0.3">
      <c r="A15" s="2">
        <v>10</v>
      </c>
      <c r="B15" s="16" t="s">
        <v>54</v>
      </c>
      <c r="C15" s="20" t="s">
        <v>55</v>
      </c>
      <c r="D15" s="3">
        <v>1</v>
      </c>
      <c r="E15" s="3">
        <v>1</v>
      </c>
      <c r="F15" s="3">
        <v>0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9">
        <f t="shared" si="0"/>
        <v>8</v>
      </c>
      <c r="N15" s="3">
        <v>1</v>
      </c>
      <c r="O15" s="3">
        <v>1</v>
      </c>
      <c r="P15" s="3">
        <v>0</v>
      </c>
      <c r="Q15" s="3">
        <v>0</v>
      </c>
      <c r="R15" s="3">
        <v>1</v>
      </c>
      <c r="S15" s="3">
        <v>1</v>
      </c>
      <c r="T15" s="3">
        <v>1</v>
      </c>
      <c r="U15" s="3">
        <v>1</v>
      </c>
      <c r="V15" s="39">
        <f t="shared" si="1"/>
        <v>6</v>
      </c>
      <c r="W15" s="3">
        <v>1</v>
      </c>
      <c r="X15" s="3">
        <v>1</v>
      </c>
      <c r="Y15" s="3">
        <v>0</v>
      </c>
      <c r="Z15" s="3">
        <v>1</v>
      </c>
      <c r="AA15" s="3">
        <v>1</v>
      </c>
      <c r="AB15" s="3">
        <v>1</v>
      </c>
      <c r="AC15" s="3">
        <v>1</v>
      </c>
      <c r="AD15" s="39">
        <f t="shared" si="2"/>
        <v>6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40">
        <f t="shared" si="3"/>
        <v>10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43">
        <f t="shared" si="4"/>
        <v>7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43">
        <f t="shared" si="5"/>
        <v>7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40">
        <f t="shared" si="6"/>
        <v>7</v>
      </c>
      <c r="BP15" s="22">
        <f t="shared" si="7"/>
        <v>51</v>
      </c>
      <c r="BQ15" s="22">
        <f t="shared" si="8"/>
        <v>92.72727272727272</v>
      </c>
    </row>
    <row r="16" spans="1:69" ht="18.75" x14ac:dyDescent="0.3">
      <c r="A16" s="2">
        <v>11</v>
      </c>
      <c r="B16" s="16" t="s">
        <v>56</v>
      </c>
      <c r="C16" s="20" t="s">
        <v>57</v>
      </c>
      <c r="D16" s="3">
        <v>1</v>
      </c>
      <c r="E16" s="3">
        <v>1</v>
      </c>
      <c r="F16" s="3">
        <v>0</v>
      </c>
      <c r="G16" s="3">
        <v>1</v>
      </c>
      <c r="H16" s="3">
        <v>0</v>
      </c>
      <c r="I16" s="3">
        <v>1</v>
      </c>
      <c r="J16" s="3">
        <v>1</v>
      </c>
      <c r="K16" s="3">
        <v>1</v>
      </c>
      <c r="L16" s="3">
        <v>0</v>
      </c>
      <c r="M16" s="39">
        <f t="shared" si="0"/>
        <v>6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9">
        <f t="shared" si="1"/>
        <v>8</v>
      </c>
      <c r="W16" s="3">
        <v>1</v>
      </c>
      <c r="X16" s="3">
        <v>1</v>
      </c>
      <c r="Y16" s="3">
        <v>0</v>
      </c>
      <c r="Z16" s="3">
        <v>1</v>
      </c>
      <c r="AA16" s="3">
        <v>1</v>
      </c>
      <c r="AB16" s="3">
        <v>1</v>
      </c>
      <c r="AC16" s="3">
        <v>1</v>
      </c>
      <c r="AD16" s="39">
        <f t="shared" si="2"/>
        <v>6</v>
      </c>
      <c r="AE16" s="3">
        <v>1</v>
      </c>
      <c r="AF16" s="3">
        <v>1</v>
      </c>
      <c r="AG16" s="3">
        <v>0</v>
      </c>
      <c r="AH16" s="3">
        <v>0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40">
        <f t="shared" si="3"/>
        <v>8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43">
        <f t="shared" si="4"/>
        <v>7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43">
        <f t="shared" si="5"/>
        <v>7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40">
        <f t="shared" si="6"/>
        <v>7</v>
      </c>
      <c r="BP16" s="22">
        <f t="shared" si="7"/>
        <v>49</v>
      </c>
      <c r="BQ16" s="22">
        <f t="shared" si="8"/>
        <v>89.090909090909093</v>
      </c>
    </row>
    <row r="17" spans="1:69" ht="18.75" x14ac:dyDescent="0.3">
      <c r="A17" s="2">
        <v>12</v>
      </c>
      <c r="B17" s="16" t="s">
        <v>58</v>
      </c>
      <c r="C17" s="20" t="s">
        <v>59</v>
      </c>
      <c r="D17" s="3">
        <v>0</v>
      </c>
      <c r="E17" s="3">
        <v>0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9">
        <f t="shared" si="0"/>
        <v>7</v>
      </c>
      <c r="N17" s="3">
        <v>1</v>
      </c>
      <c r="O17" s="3">
        <v>1</v>
      </c>
      <c r="P17" s="3">
        <v>0</v>
      </c>
      <c r="Q17" s="3">
        <v>0</v>
      </c>
      <c r="R17" s="3">
        <v>1</v>
      </c>
      <c r="S17" s="3">
        <v>1</v>
      </c>
      <c r="T17" s="3">
        <v>1</v>
      </c>
      <c r="U17" s="3">
        <v>1</v>
      </c>
      <c r="V17" s="39">
        <f t="shared" si="1"/>
        <v>6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9">
        <f t="shared" si="2"/>
        <v>7</v>
      </c>
      <c r="AE17" s="3">
        <v>1</v>
      </c>
      <c r="AF17" s="3">
        <v>1</v>
      </c>
      <c r="AG17" s="3">
        <v>0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40">
        <f t="shared" si="3"/>
        <v>9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43">
        <f t="shared" si="4"/>
        <v>7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1</v>
      </c>
      <c r="BD17" s="3">
        <v>1</v>
      </c>
      <c r="BE17" s="43">
        <f t="shared" si="5"/>
        <v>7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40">
        <f t="shared" si="6"/>
        <v>7</v>
      </c>
      <c r="BP17" s="22">
        <f t="shared" si="7"/>
        <v>50</v>
      </c>
      <c r="BQ17" s="22">
        <f t="shared" si="8"/>
        <v>90.909090909090907</v>
      </c>
    </row>
    <row r="18" spans="1:69" ht="18.75" x14ac:dyDescent="0.3">
      <c r="A18" s="2">
        <v>13</v>
      </c>
      <c r="B18" s="16" t="s">
        <v>60</v>
      </c>
      <c r="C18" s="20" t="s">
        <v>61</v>
      </c>
      <c r="D18" s="3">
        <v>1</v>
      </c>
      <c r="E18" s="3">
        <v>1</v>
      </c>
      <c r="F18" s="3">
        <v>0</v>
      </c>
      <c r="G18" s="3">
        <v>1</v>
      </c>
      <c r="H18" s="3">
        <v>0</v>
      </c>
      <c r="I18" s="3">
        <v>1</v>
      </c>
      <c r="J18" s="3">
        <v>1</v>
      </c>
      <c r="K18" s="3">
        <v>1</v>
      </c>
      <c r="L18" s="3">
        <v>0</v>
      </c>
      <c r="M18" s="39">
        <f t="shared" si="0"/>
        <v>6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9">
        <f t="shared" si="1"/>
        <v>8</v>
      </c>
      <c r="W18" s="3">
        <v>1</v>
      </c>
      <c r="X18" s="3">
        <v>1</v>
      </c>
      <c r="Y18" s="3">
        <v>0</v>
      </c>
      <c r="Z18" s="3">
        <v>1</v>
      </c>
      <c r="AA18" s="3">
        <v>1</v>
      </c>
      <c r="AB18" s="3">
        <v>1</v>
      </c>
      <c r="AC18" s="3">
        <v>1</v>
      </c>
      <c r="AD18" s="39">
        <f t="shared" si="2"/>
        <v>6</v>
      </c>
      <c r="AE18" s="3">
        <v>1</v>
      </c>
      <c r="AF18" s="3">
        <v>1</v>
      </c>
      <c r="AG18" s="3">
        <v>0</v>
      </c>
      <c r="AH18" s="3">
        <v>0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40">
        <f t="shared" si="3"/>
        <v>8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43">
        <f t="shared" si="4"/>
        <v>7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43">
        <f t="shared" si="5"/>
        <v>7</v>
      </c>
      <c r="BF18" s="3">
        <v>1</v>
      </c>
      <c r="BG18" s="3">
        <v>1</v>
      </c>
      <c r="BH18" s="3">
        <v>1</v>
      </c>
      <c r="BI18" s="3">
        <v>1</v>
      </c>
      <c r="BJ18" s="3">
        <v>1</v>
      </c>
      <c r="BK18" s="3">
        <v>1</v>
      </c>
      <c r="BL18" s="3">
        <v>1</v>
      </c>
      <c r="BM18" s="40">
        <f t="shared" si="6"/>
        <v>7</v>
      </c>
      <c r="BP18" s="22">
        <f t="shared" si="7"/>
        <v>49</v>
      </c>
      <c r="BQ18" s="22">
        <f t="shared" si="8"/>
        <v>89.090909090909093</v>
      </c>
    </row>
    <row r="19" spans="1:69" ht="18.75" x14ac:dyDescent="0.3">
      <c r="A19" s="2">
        <v>14</v>
      </c>
      <c r="B19" s="16" t="s">
        <v>62</v>
      </c>
      <c r="C19" s="20" t="s">
        <v>63</v>
      </c>
      <c r="D19" s="3">
        <v>1</v>
      </c>
      <c r="E19" s="3">
        <v>1</v>
      </c>
      <c r="F19" s="3">
        <v>0</v>
      </c>
      <c r="G19" s="3">
        <v>0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9">
        <f t="shared" si="0"/>
        <v>7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9">
        <f t="shared" si="1"/>
        <v>8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9">
        <f t="shared" si="2"/>
        <v>7</v>
      </c>
      <c r="AE19" s="3">
        <v>1</v>
      </c>
      <c r="AF19" s="3">
        <v>1</v>
      </c>
      <c r="AG19" s="3">
        <v>1</v>
      </c>
      <c r="AH19" s="3">
        <v>0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40">
        <f t="shared" si="3"/>
        <v>9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43">
        <f t="shared" si="4"/>
        <v>7</v>
      </c>
      <c r="AX19" s="3">
        <v>0</v>
      </c>
      <c r="AY19" s="3">
        <v>0</v>
      </c>
      <c r="AZ19" s="3">
        <v>1</v>
      </c>
      <c r="BA19" s="3">
        <v>0</v>
      </c>
      <c r="BB19" s="3">
        <v>1</v>
      </c>
      <c r="BC19" s="3">
        <v>1</v>
      </c>
      <c r="BD19" s="3">
        <v>1</v>
      </c>
      <c r="BE19" s="43">
        <f t="shared" si="5"/>
        <v>4</v>
      </c>
      <c r="BF19" s="3">
        <v>0</v>
      </c>
      <c r="BG19" s="3">
        <v>1</v>
      </c>
      <c r="BH19" s="3">
        <v>0</v>
      </c>
      <c r="BI19" s="3">
        <v>0</v>
      </c>
      <c r="BJ19" s="3">
        <v>1</v>
      </c>
      <c r="BK19" s="3">
        <v>1</v>
      </c>
      <c r="BL19" s="3">
        <v>1</v>
      </c>
      <c r="BM19" s="40">
        <f t="shared" si="6"/>
        <v>4</v>
      </c>
      <c r="BP19" s="22">
        <f t="shared" si="7"/>
        <v>46</v>
      </c>
      <c r="BQ19" s="22">
        <f t="shared" si="8"/>
        <v>83.636363636363626</v>
      </c>
    </row>
    <row r="20" spans="1:69" ht="18.75" x14ac:dyDescent="0.3">
      <c r="A20" s="2">
        <v>15</v>
      </c>
      <c r="B20" s="16" t="s">
        <v>64</v>
      </c>
      <c r="C20" s="20" t="s">
        <v>65</v>
      </c>
      <c r="D20" s="3">
        <v>1</v>
      </c>
      <c r="E20" s="3">
        <v>1</v>
      </c>
      <c r="F20" s="3">
        <v>0</v>
      </c>
      <c r="G20" s="3">
        <v>1</v>
      </c>
      <c r="H20" s="3">
        <v>0</v>
      </c>
      <c r="I20" s="3">
        <v>1</v>
      </c>
      <c r="J20" s="3">
        <v>1</v>
      </c>
      <c r="K20" s="3">
        <v>1</v>
      </c>
      <c r="L20" s="3">
        <v>0</v>
      </c>
      <c r="M20" s="39">
        <f t="shared" si="0"/>
        <v>6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9">
        <f t="shared" si="1"/>
        <v>8</v>
      </c>
      <c r="W20" s="3">
        <v>1</v>
      </c>
      <c r="X20" s="3">
        <v>1</v>
      </c>
      <c r="Y20" s="3">
        <v>0</v>
      </c>
      <c r="Z20" s="3">
        <v>1</v>
      </c>
      <c r="AA20" s="3">
        <v>1</v>
      </c>
      <c r="AB20" s="3">
        <v>1</v>
      </c>
      <c r="AC20" s="3">
        <v>1</v>
      </c>
      <c r="AD20" s="39">
        <f t="shared" si="2"/>
        <v>6</v>
      </c>
      <c r="AE20" s="3">
        <v>1</v>
      </c>
      <c r="AF20" s="3">
        <v>1</v>
      </c>
      <c r="AG20" s="3">
        <v>0</v>
      </c>
      <c r="AH20" s="3">
        <v>0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40">
        <f t="shared" si="3"/>
        <v>8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43">
        <f t="shared" si="4"/>
        <v>7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43">
        <f t="shared" si="5"/>
        <v>7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40">
        <f t="shared" si="6"/>
        <v>7</v>
      </c>
      <c r="BP20" s="22">
        <f t="shared" si="7"/>
        <v>49</v>
      </c>
      <c r="BQ20" s="22">
        <f t="shared" si="8"/>
        <v>89.090909090909093</v>
      </c>
    </row>
    <row r="21" spans="1:69" ht="18.75" x14ac:dyDescent="0.3">
      <c r="A21" s="2">
        <v>16</v>
      </c>
      <c r="B21" s="16" t="s">
        <v>66</v>
      </c>
      <c r="C21" s="20" t="s">
        <v>67</v>
      </c>
      <c r="D21" s="3">
        <v>1</v>
      </c>
      <c r="E21" s="3">
        <v>1</v>
      </c>
      <c r="F21" s="3">
        <v>0</v>
      </c>
      <c r="G21" s="3">
        <v>0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9">
        <f t="shared" si="0"/>
        <v>7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9">
        <f t="shared" si="1"/>
        <v>8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9">
        <f t="shared" si="2"/>
        <v>7</v>
      </c>
      <c r="AE21" s="3">
        <v>1</v>
      </c>
      <c r="AF21" s="3">
        <v>1</v>
      </c>
      <c r="AG21" s="3">
        <v>1</v>
      </c>
      <c r="AH21" s="3">
        <v>0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40">
        <f t="shared" si="3"/>
        <v>9</v>
      </c>
      <c r="AP21" s="3">
        <v>0</v>
      </c>
      <c r="AQ21" s="3">
        <v>1</v>
      </c>
      <c r="AR21" s="3">
        <v>0</v>
      </c>
      <c r="AS21" s="3">
        <v>1</v>
      </c>
      <c r="AT21" s="3">
        <v>0</v>
      </c>
      <c r="AU21" s="3">
        <v>1</v>
      </c>
      <c r="AV21" s="3">
        <v>1</v>
      </c>
      <c r="AW21" s="43">
        <f t="shared" si="4"/>
        <v>4</v>
      </c>
      <c r="AX21" s="3">
        <v>1</v>
      </c>
      <c r="AY21" s="3">
        <v>1</v>
      </c>
      <c r="AZ21" s="3">
        <v>0</v>
      </c>
      <c r="BA21" s="3">
        <v>0</v>
      </c>
      <c r="BB21" s="3">
        <v>1</v>
      </c>
      <c r="BC21" s="3">
        <v>0</v>
      </c>
      <c r="BD21" s="3">
        <v>1</v>
      </c>
      <c r="BE21" s="43">
        <f t="shared" si="5"/>
        <v>4</v>
      </c>
      <c r="BF21" s="3">
        <v>1</v>
      </c>
      <c r="BG21" s="3">
        <v>0</v>
      </c>
      <c r="BH21" s="3">
        <v>1</v>
      </c>
      <c r="BI21" s="3">
        <v>0</v>
      </c>
      <c r="BJ21" s="3">
        <v>0</v>
      </c>
      <c r="BK21" s="3">
        <v>1</v>
      </c>
      <c r="BL21" s="3">
        <v>1</v>
      </c>
      <c r="BM21" s="40">
        <f t="shared" si="6"/>
        <v>4</v>
      </c>
      <c r="BP21" s="22">
        <f t="shared" si="7"/>
        <v>43</v>
      </c>
      <c r="BQ21" s="22">
        <f t="shared" si="8"/>
        <v>78.181818181818187</v>
      </c>
    </row>
    <row r="22" spans="1:69" ht="18.75" x14ac:dyDescent="0.3">
      <c r="A22" s="2">
        <v>17</v>
      </c>
      <c r="B22" s="16" t="s">
        <v>68</v>
      </c>
      <c r="C22" s="20" t="s">
        <v>69</v>
      </c>
      <c r="D22" s="3">
        <v>1</v>
      </c>
      <c r="E22" s="3">
        <v>1</v>
      </c>
      <c r="F22" s="3">
        <v>0</v>
      </c>
      <c r="G22" s="3">
        <v>1</v>
      </c>
      <c r="H22" s="3">
        <v>0</v>
      </c>
      <c r="I22" s="3">
        <v>1</v>
      </c>
      <c r="J22" s="3">
        <v>1</v>
      </c>
      <c r="K22" s="3">
        <v>1</v>
      </c>
      <c r="L22" s="3">
        <v>0</v>
      </c>
      <c r="M22" s="39">
        <f t="shared" si="0"/>
        <v>6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9">
        <f t="shared" si="1"/>
        <v>8</v>
      </c>
      <c r="W22" s="3">
        <v>1</v>
      </c>
      <c r="X22" s="3">
        <v>1</v>
      </c>
      <c r="Y22" s="3">
        <v>0</v>
      </c>
      <c r="Z22" s="3">
        <v>1</v>
      </c>
      <c r="AA22" s="3">
        <v>1</v>
      </c>
      <c r="AB22" s="3">
        <v>1</v>
      </c>
      <c r="AC22" s="3">
        <v>1</v>
      </c>
      <c r="AD22" s="39">
        <f t="shared" si="2"/>
        <v>6</v>
      </c>
      <c r="AE22" s="3">
        <v>1</v>
      </c>
      <c r="AF22" s="3">
        <v>1</v>
      </c>
      <c r="AG22" s="3">
        <v>0</v>
      </c>
      <c r="AH22" s="3">
        <v>0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40">
        <f t="shared" si="3"/>
        <v>8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43">
        <f t="shared" si="4"/>
        <v>7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43">
        <f t="shared" si="5"/>
        <v>7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40">
        <f t="shared" si="6"/>
        <v>7</v>
      </c>
      <c r="BP22" s="22">
        <f t="shared" si="7"/>
        <v>49</v>
      </c>
      <c r="BQ22" s="22">
        <f t="shared" si="8"/>
        <v>89.090909090909093</v>
      </c>
    </row>
    <row r="23" spans="1:69" ht="18.75" x14ac:dyDescent="0.3">
      <c r="A23" s="2">
        <v>18</v>
      </c>
      <c r="B23" s="16" t="s">
        <v>70</v>
      </c>
      <c r="C23" s="20" t="s">
        <v>71</v>
      </c>
      <c r="D23" s="3">
        <v>0</v>
      </c>
      <c r="E23" s="3">
        <v>0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9">
        <f t="shared" si="0"/>
        <v>7</v>
      </c>
      <c r="N23" s="3">
        <v>1</v>
      </c>
      <c r="O23" s="3">
        <v>1</v>
      </c>
      <c r="P23" s="3">
        <v>0</v>
      </c>
      <c r="Q23" s="3">
        <v>0</v>
      </c>
      <c r="R23" s="3">
        <v>1</v>
      </c>
      <c r="S23" s="3">
        <v>1</v>
      </c>
      <c r="T23" s="3">
        <v>1</v>
      </c>
      <c r="U23" s="3">
        <v>1</v>
      </c>
      <c r="V23" s="39">
        <f t="shared" si="1"/>
        <v>6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9">
        <f t="shared" si="2"/>
        <v>7</v>
      </c>
      <c r="AE23" s="3">
        <v>1</v>
      </c>
      <c r="AF23" s="3">
        <v>1</v>
      </c>
      <c r="AG23" s="3">
        <v>0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40">
        <f t="shared" si="3"/>
        <v>9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43">
        <f t="shared" si="4"/>
        <v>7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43">
        <f t="shared" si="5"/>
        <v>7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40">
        <f t="shared" si="6"/>
        <v>7</v>
      </c>
      <c r="BP23" s="22">
        <f t="shared" si="7"/>
        <v>50</v>
      </c>
      <c r="BQ23" s="22">
        <f t="shared" si="8"/>
        <v>90.909090909090907</v>
      </c>
    </row>
    <row r="24" spans="1:69" ht="18.75" x14ac:dyDescent="0.3">
      <c r="A24" s="2">
        <v>19</v>
      </c>
      <c r="B24" s="16" t="s">
        <v>72</v>
      </c>
      <c r="C24" s="20" t="s">
        <v>73</v>
      </c>
      <c r="D24" s="3">
        <v>1</v>
      </c>
      <c r="E24" s="3">
        <v>1</v>
      </c>
      <c r="F24" s="3">
        <v>0</v>
      </c>
      <c r="G24" s="3">
        <v>1</v>
      </c>
      <c r="H24" s="3">
        <v>0</v>
      </c>
      <c r="I24" s="3">
        <v>1</v>
      </c>
      <c r="J24" s="3">
        <v>1</v>
      </c>
      <c r="K24" s="3">
        <v>1</v>
      </c>
      <c r="L24" s="3">
        <v>0</v>
      </c>
      <c r="M24" s="39">
        <f t="shared" si="0"/>
        <v>6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9">
        <f t="shared" si="1"/>
        <v>8</v>
      </c>
      <c r="W24" s="3">
        <v>1</v>
      </c>
      <c r="X24" s="3">
        <v>1</v>
      </c>
      <c r="Y24" s="3">
        <v>0</v>
      </c>
      <c r="Z24" s="3">
        <v>1</v>
      </c>
      <c r="AA24" s="3">
        <v>1</v>
      </c>
      <c r="AB24" s="3">
        <v>1</v>
      </c>
      <c r="AC24" s="3">
        <v>1</v>
      </c>
      <c r="AD24" s="39">
        <f t="shared" si="2"/>
        <v>6</v>
      </c>
      <c r="AE24" s="3">
        <v>1</v>
      </c>
      <c r="AF24" s="3">
        <v>1</v>
      </c>
      <c r="AG24" s="3">
        <v>0</v>
      </c>
      <c r="AH24" s="3">
        <v>0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40">
        <f t="shared" si="3"/>
        <v>8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43">
        <f t="shared" si="4"/>
        <v>7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43">
        <f t="shared" si="5"/>
        <v>7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40">
        <f t="shared" si="6"/>
        <v>7</v>
      </c>
      <c r="BP24" s="22">
        <f t="shared" si="7"/>
        <v>49</v>
      </c>
      <c r="BQ24" s="22">
        <f t="shared" si="8"/>
        <v>89.090909090909093</v>
      </c>
    </row>
    <row r="25" spans="1:69" ht="18.75" x14ac:dyDescent="0.3">
      <c r="A25" s="2">
        <v>20</v>
      </c>
      <c r="B25" s="16" t="s">
        <v>74</v>
      </c>
      <c r="C25" s="20" t="s">
        <v>75</v>
      </c>
      <c r="D25" s="3">
        <v>1</v>
      </c>
      <c r="E25" s="3">
        <v>1</v>
      </c>
      <c r="F25" s="3">
        <v>0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9">
        <f t="shared" si="0"/>
        <v>8</v>
      </c>
      <c r="N25" s="3">
        <v>1</v>
      </c>
      <c r="O25" s="3">
        <v>1</v>
      </c>
      <c r="P25" s="3">
        <v>0</v>
      </c>
      <c r="Q25" s="3">
        <v>0</v>
      </c>
      <c r="R25" s="3">
        <v>1</v>
      </c>
      <c r="S25" s="3">
        <v>1</v>
      </c>
      <c r="T25" s="3">
        <v>1</v>
      </c>
      <c r="U25" s="3">
        <v>1</v>
      </c>
      <c r="V25" s="39">
        <f t="shared" si="1"/>
        <v>6</v>
      </c>
      <c r="W25" s="3">
        <v>1</v>
      </c>
      <c r="X25" s="3">
        <v>1</v>
      </c>
      <c r="Y25" s="3">
        <v>0</v>
      </c>
      <c r="Z25" s="3">
        <v>1</v>
      </c>
      <c r="AA25" s="3">
        <v>1</v>
      </c>
      <c r="AB25" s="3">
        <v>1</v>
      </c>
      <c r="AC25" s="3">
        <v>1</v>
      </c>
      <c r="AD25" s="39">
        <f t="shared" si="2"/>
        <v>6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40">
        <f t="shared" si="3"/>
        <v>10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43">
        <f t="shared" si="4"/>
        <v>7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43">
        <f t="shared" si="5"/>
        <v>7</v>
      </c>
      <c r="BF25" s="3">
        <v>1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L25" s="3">
        <v>1</v>
      </c>
      <c r="BM25" s="40">
        <f t="shared" si="6"/>
        <v>7</v>
      </c>
      <c r="BP25" s="22">
        <f t="shared" si="7"/>
        <v>51</v>
      </c>
      <c r="BQ25" s="22">
        <f t="shared" si="8"/>
        <v>92.72727272727272</v>
      </c>
    </row>
    <row r="26" spans="1:69" ht="18.75" x14ac:dyDescent="0.3">
      <c r="A26" s="2">
        <v>21</v>
      </c>
      <c r="B26" s="16" t="s">
        <v>76</v>
      </c>
      <c r="C26" s="20" t="s">
        <v>77</v>
      </c>
      <c r="D26" s="3">
        <v>1</v>
      </c>
      <c r="E26" s="3">
        <v>1</v>
      </c>
      <c r="F26" s="3">
        <v>0</v>
      </c>
      <c r="G26" s="3">
        <v>0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9">
        <f t="shared" si="0"/>
        <v>7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9">
        <f t="shared" si="1"/>
        <v>8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9">
        <f t="shared" si="2"/>
        <v>7</v>
      </c>
      <c r="AE26" s="3">
        <v>1</v>
      </c>
      <c r="AF26" s="3">
        <v>1</v>
      </c>
      <c r="AG26" s="3">
        <v>1</v>
      </c>
      <c r="AH26" s="3">
        <v>0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40">
        <f t="shared" si="3"/>
        <v>9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43">
        <f t="shared" si="4"/>
        <v>7</v>
      </c>
      <c r="AX26" s="3">
        <v>0</v>
      </c>
      <c r="AY26" s="3">
        <v>0</v>
      </c>
      <c r="AZ26" s="3">
        <v>1</v>
      </c>
      <c r="BA26" s="3">
        <v>0</v>
      </c>
      <c r="BB26" s="3">
        <v>1</v>
      </c>
      <c r="BC26" s="3">
        <v>1</v>
      </c>
      <c r="BD26" s="3">
        <v>1</v>
      </c>
      <c r="BE26" s="43">
        <f t="shared" si="5"/>
        <v>4</v>
      </c>
      <c r="BF26" s="3">
        <v>0</v>
      </c>
      <c r="BG26" s="3">
        <v>1</v>
      </c>
      <c r="BH26" s="3">
        <v>0</v>
      </c>
      <c r="BI26" s="3">
        <v>0</v>
      </c>
      <c r="BJ26" s="3">
        <v>1</v>
      </c>
      <c r="BK26" s="3">
        <v>1</v>
      </c>
      <c r="BL26" s="3">
        <v>1</v>
      </c>
      <c r="BM26" s="40">
        <f t="shared" si="6"/>
        <v>4</v>
      </c>
      <c r="BP26" s="22">
        <f t="shared" si="7"/>
        <v>46</v>
      </c>
      <c r="BQ26" s="22">
        <f t="shared" si="8"/>
        <v>83.636363636363626</v>
      </c>
    </row>
    <row r="27" spans="1:69" ht="18" x14ac:dyDescent="0.35">
      <c r="A27" s="2">
        <v>22</v>
      </c>
      <c r="B27" s="16" t="s">
        <v>78</v>
      </c>
      <c r="C27" s="20" t="s">
        <v>79</v>
      </c>
      <c r="D27" s="3">
        <v>1</v>
      </c>
      <c r="E27" s="3">
        <v>1</v>
      </c>
      <c r="F27" s="3">
        <v>0</v>
      </c>
      <c r="G27" s="3">
        <v>1</v>
      </c>
      <c r="H27" s="3">
        <v>0</v>
      </c>
      <c r="I27" s="3">
        <v>1</v>
      </c>
      <c r="J27" s="3">
        <v>1</v>
      </c>
      <c r="K27" s="3">
        <v>1</v>
      </c>
      <c r="L27" s="3">
        <v>0</v>
      </c>
      <c r="M27" s="39">
        <f t="shared" si="0"/>
        <v>6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9">
        <f t="shared" si="1"/>
        <v>8</v>
      </c>
      <c r="W27" s="3">
        <v>1</v>
      </c>
      <c r="X27" s="3">
        <v>1</v>
      </c>
      <c r="Y27" s="3">
        <v>0</v>
      </c>
      <c r="Z27" s="3">
        <v>1</v>
      </c>
      <c r="AA27" s="3">
        <v>1</v>
      </c>
      <c r="AB27" s="3">
        <v>1</v>
      </c>
      <c r="AC27" s="3">
        <v>1</v>
      </c>
      <c r="AD27" s="39">
        <f t="shared" si="2"/>
        <v>6</v>
      </c>
      <c r="AE27" s="3">
        <v>1</v>
      </c>
      <c r="AF27" s="3">
        <v>1</v>
      </c>
      <c r="AG27" s="3">
        <v>0</v>
      </c>
      <c r="AH27" s="3">
        <v>0</v>
      </c>
      <c r="AI27" s="3">
        <v>1</v>
      </c>
      <c r="AJ27" s="3">
        <v>1</v>
      </c>
      <c r="AK27" s="3">
        <v>1</v>
      </c>
      <c r="AL27" s="3">
        <v>1</v>
      </c>
      <c r="AM27" s="3">
        <v>1</v>
      </c>
      <c r="AN27" s="3">
        <v>1</v>
      </c>
      <c r="AO27" s="40">
        <f t="shared" si="3"/>
        <v>8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43">
        <f t="shared" si="4"/>
        <v>7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43">
        <f t="shared" si="5"/>
        <v>7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40">
        <f t="shared" si="6"/>
        <v>7</v>
      </c>
      <c r="BP27" s="22">
        <f t="shared" si="7"/>
        <v>49</v>
      </c>
      <c r="BQ27" s="22">
        <f t="shared" si="8"/>
        <v>89.090909090909093</v>
      </c>
    </row>
    <row r="28" spans="1:69" ht="18" x14ac:dyDescent="0.35">
      <c r="A28" s="2">
        <v>23</v>
      </c>
      <c r="B28" s="16" t="s">
        <v>80</v>
      </c>
      <c r="C28" s="20" t="s">
        <v>81</v>
      </c>
      <c r="D28" s="3">
        <v>0</v>
      </c>
      <c r="E28" s="3">
        <v>0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9">
        <f t="shared" si="0"/>
        <v>7</v>
      </c>
      <c r="N28" s="3">
        <v>1</v>
      </c>
      <c r="O28" s="3">
        <v>1</v>
      </c>
      <c r="P28" s="3">
        <v>0</v>
      </c>
      <c r="Q28" s="3">
        <v>0</v>
      </c>
      <c r="R28" s="3">
        <v>1</v>
      </c>
      <c r="S28" s="3">
        <v>1</v>
      </c>
      <c r="T28" s="3">
        <v>1</v>
      </c>
      <c r="U28" s="3">
        <v>1</v>
      </c>
      <c r="V28" s="39">
        <f t="shared" si="1"/>
        <v>6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9">
        <f t="shared" si="2"/>
        <v>7</v>
      </c>
      <c r="AE28" s="3">
        <v>1</v>
      </c>
      <c r="AF28" s="3">
        <v>1</v>
      </c>
      <c r="AG28" s="3">
        <v>0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40">
        <f t="shared" si="3"/>
        <v>9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43">
        <f t="shared" si="4"/>
        <v>7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43">
        <f t="shared" si="5"/>
        <v>7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40">
        <f t="shared" si="6"/>
        <v>7</v>
      </c>
      <c r="BP28" s="22">
        <f t="shared" si="7"/>
        <v>50</v>
      </c>
      <c r="BQ28" s="22">
        <f t="shared" si="8"/>
        <v>90.909090909090907</v>
      </c>
    </row>
    <row r="29" spans="1:69" ht="18" x14ac:dyDescent="0.35">
      <c r="A29" s="2">
        <v>24</v>
      </c>
      <c r="B29" s="16" t="s">
        <v>82</v>
      </c>
      <c r="C29" s="20" t="s">
        <v>83</v>
      </c>
      <c r="D29" s="3">
        <v>1</v>
      </c>
      <c r="E29" s="3">
        <v>1</v>
      </c>
      <c r="F29" s="3">
        <v>0</v>
      </c>
      <c r="G29" s="3">
        <v>1</v>
      </c>
      <c r="H29" s="3">
        <v>0</v>
      </c>
      <c r="I29" s="3">
        <v>1</v>
      </c>
      <c r="J29" s="3">
        <v>1</v>
      </c>
      <c r="K29" s="3">
        <v>1</v>
      </c>
      <c r="L29" s="3">
        <v>0</v>
      </c>
      <c r="M29" s="39">
        <f t="shared" si="0"/>
        <v>6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9">
        <f t="shared" si="1"/>
        <v>8</v>
      </c>
      <c r="W29" s="3">
        <v>1</v>
      </c>
      <c r="X29" s="3">
        <v>1</v>
      </c>
      <c r="Y29" s="3">
        <v>0</v>
      </c>
      <c r="Z29" s="3">
        <v>1</v>
      </c>
      <c r="AA29" s="3">
        <v>1</v>
      </c>
      <c r="AB29" s="3">
        <v>1</v>
      </c>
      <c r="AC29" s="3">
        <v>1</v>
      </c>
      <c r="AD29" s="39">
        <f t="shared" si="2"/>
        <v>6</v>
      </c>
      <c r="AE29" s="3">
        <v>1</v>
      </c>
      <c r="AF29" s="3">
        <v>1</v>
      </c>
      <c r="AG29" s="3">
        <v>0</v>
      </c>
      <c r="AH29" s="3">
        <v>0</v>
      </c>
      <c r="AI29" s="3">
        <v>1</v>
      </c>
      <c r="AJ29" s="3">
        <v>1</v>
      </c>
      <c r="AK29" s="3">
        <v>1</v>
      </c>
      <c r="AL29" s="3">
        <v>1</v>
      </c>
      <c r="AM29" s="3">
        <v>1</v>
      </c>
      <c r="AN29" s="3">
        <v>1</v>
      </c>
      <c r="AO29" s="40">
        <f t="shared" si="3"/>
        <v>8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43">
        <f t="shared" si="4"/>
        <v>7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43">
        <f t="shared" si="5"/>
        <v>7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3">
        <v>1</v>
      </c>
      <c r="BM29" s="40">
        <f t="shared" si="6"/>
        <v>7</v>
      </c>
      <c r="BP29" s="22">
        <f t="shared" si="7"/>
        <v>49</v>
      </c>
      <c r="BQ29" s="22">
        <f t="shared" si="8"/>
        <v>89.090909090909093</v>
      </c>
    </row>
    <row r="30" spans="1:69" ht="18" x14ac:dyDescent="0.35">
      <c r="A30" s="2">
        <v>25</v>
      </c>
      <c r="B30" s="16" t="s">
        <v>84</v>
      </c>
      <c r="C30" s="20" t="s">
        <v>85</v>
      </c>
      <c r="D30" s="3">
        <v>1</v>
      </c>
      <c r="E30" s="3">
        <v>1</v>
      </c>
      <c r="F30" s="3">
        <v>0</v>
      </c>
      <c r="G30" s="3">
        <v>0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9">
        <f t="shared" si="0"/>
        <v>7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9">
        <f t="shared" si="1"/>
        <v>8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9">
        <f t="shared" si="2"/>
        <v>7</v>
      </c>
      <c r="AE30" s="3">
        <v>1</v>
      </c>
      <c r="AF30" s="3">
        <v>1</v>
      </c>
      <c r="AG30" s="3">
        <v>1</v>
      </c>
      <c r="AH30" s="3">
        <v>0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40">
        <f t="shared" si="3"/>
        <v>9</v>
      </c>
      <c r="AP30" s="3">
        <v>1</v>
      </c>
      <c r="AQ30" s="3">
        <v>0</v>
      </c>
      <c r="AR30" s="3">
        <v>1</v>
      </c>
      <c r="AS30" s="3">
        <v>0</v>
      </c>
      <c r="AT30" s="3">
        <v>1</v>
      </c>
      <c r="AU30" s="3">
        <v>0</v>
      </c>
      <c r="AV30" s="3">
        <v>1</v>
      </c>
      <c r="AW30" s="43">
        <f t="shared" si="4"/>
        <v>4</v>
      </c>
      <c r="AX30" s="3">
        <v>1</v>
      </c>
      <c r="AY30" s="3">
        <v>1</v>
      </c>
      <c r="AZ30" s="3">
        <v>0</v>
      </c>
      <c r="BA30" s="3">
        <v>0</v>
      </c>
      <c r="BB30" s="3">
        <v>1</v>
      </c>
      <c r="BC30" s="3">
        <v>0</v>
      </c>
      <c r="BD30" s="3">
        <v>1</v>
      </c>
      <c r="BE30" s="43">
        <f t="shared" si="5"/>
        <v>4</v>
      </c>
      <c r="BF30" s="3">
        <v>1</v>
      </c>
      <c r="BG30" s="3">
        <v>1</v>
      </c>
      <c r="BH30" s="3">
        <v>0</v>
      </c>
      <c r="BI30" s="3">
        <v>1</v>
      </c>
      <c r="BJ30" s="3">
        <v>0</v>
      </c>
      <c r="BK30" s="3">
        <v>0</v>
      </c>
      <c r="BL30" s="3">
        <v>1</v>
      </c>
      <c r="BM30" s="40">
        <f t="shared" si="6"/>
        <v>4</v>
      </c>
      <c r="BP30" s="22">
        <f t="shared" si="7"/>
        <v>43</v>
      </c>
      <c r="BQ30" s="22">
        <f t="shared" si="8"/>
        <v>78.181818181818187</v>
      </c>
    </row>
    <row r="31" spans="1:69" ht="18" x14ac:dyDescent="0.35">
      <c r="A31" s="2">
        <v>26</v>
      </c>
      <c r="B31" s="16" t="s">
        <v>86</v>
      </c>
      <c r="C31" s="20" t="s">
        <v>87</v>
      </c>
      <c r="D31" s="3">
        <v>1</v>
      </c>
      <c r="E31" s="3">
        <v>1</v>
      </c>
      <c r="F31" s="3">
        <v>0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9">
        <f t="shared" si="0"/>
        <v>8</v>
      </c>
      <c r="N31" s="3">
        <v>1</v>
      </c>
      <c r="O31" s="3">
        <v>1</v>
      </c>
      <c r="P31" s="3">
        <v>0</v>
      </c>
      <c r="Q31" s="3">
        <v>0</v>
      </c>
      <c r="R31" s="3">
        <v>1</v>
      </c>
      <c r="S31" s="3">
        <v>1</v>
      </c>
      <c r="T31" s="3">
        <v>1</v>
      </c>
      <c r="U31" s="3">
        <v>1</v>
      </c>
      <c r="V31" s="39">
        <f t="shared" si="1"/>
        <v>6</v>
      </c>
      <c r="W31" s="3">
        <v>1</v>
      </c>
      <c r="X31" s="3">
        <v>1</v>
      </c>
      <c r="Y31" s="3">
        <v>0</v>
      </c>
      <c r="Z31" s="3">
        <v>1</v>
      </c>
      <c r="AA31" s="3">
        <v>1</v>
      </c>
      <c r="AB31" s="3">
        <v>1</v>
      </c>
      <c r="AC31" s="3">
        <v>1</v>
      </c>
      <c r="AD31" s="39">
        <f t="shared" si="2"/>
        <v>6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3">
        <v>1</v>
      </c>
      <c r="AN31" s="3">
        <v>1</v>
      </c>
      <c r="AO31" s="40">
        <f t="shared" si="3"/>
        <v>10</v>
      </c>
      <c r="AP31" s="3">
        <v>1</v>
      </c>
      <c r="AQ31" s="3">
        <v>1</v>
      </c>
      <c r="AR31" s="3">
        <v>1</v>
      </c>
      <c r="AS31" s="3">
        <v>1</v>
      </c>
      <c r="AT31" s="3">
        <v>1</v>
      </c>
      <c r="AU31" s="3">
        <v>1</v>
      </c>
      <c r="AV31" s="3">
        <v>1</v>
      </c>
      <c r="AW31" s="43">
        <f t="shared" si="4"/>
        <v>7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43">
        <f t="shared" si="5"/>
        <v>7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3">
        <v>1</v>
      </c>
      <c r="BM31" s="40">
        <f t="shared" si="6"/>
        <v>7</v>
      </c>
      <c r="BP31" s="22">
        <f t="shared" si="7"/>
        <v>51</v>
      </c>
      <c r="BQ31" s="22">
        <f t="shared" si="8"/>
        <v>92.72727272727272</v>
      </c>
    </row>
    <row r="32" spans="1:69" ht="18" x14ac:dyDescent="0.35">
      <c r="A32" s="2">
        <v>27</v>
      </c>
      <c r="B32" s="16" t="s">
        <v>88</v>
      </c>
      <c r="C32" s="20" t="s">
        <v>89</v>
      </c>
      <c r="D32" s="3">
        <v>0</v>
      </c>
      <c r="E32" s="3">
        <v>0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9">
        <f t="shared" si="0"/>
        <v>7</v>
      </c>
      <c r="N32" s="3">
        <v>1</v>
      </c>
      <c r="O32" s="3">
        <v>1</v>
      </c>
      <c r="P32" s="3">
        <v>0</v>
      </c>
      <c r="Q32" s="3">
        <v>0</v>
      </c>
      <c r="R32" s="3">
        <v>1</v>
      </c>
      <c r="S32" s="3">
        <v>1</v>
      </c>
      <c r="T32" s="3">
        <v>1</v>
      </c>
      <c r="U32" s="3">
        <v>1</v>
      </c>
      <c r="V32" s="39">
        <f t="shared" si="1"/>
        <v>6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9">
        <f t="shared" si="2"/>
        <v>7</v>
      </c>
      <c r="AE32" s="3">
        <v>1</v>
      </c>
      <c r="AF32" s="3">
        <v>1</v>
      </c>
      <c r="AG32" s="3">
        <v>0</v>
      </c>
      <c r="AH32" s="3">
        <v>1</v>
      </c>
      <c r="AI32" s="3">
        <v>1</v>
      </c>
      <c r="AJ32" s="3">
        <v>1</v>
      </c>
      <c r="AK32" s="3">
        <v>1</v>
      </c>
      <c r="AL32" s="3">
        <v>1</v>
      </c>
      <c r="AM32" s="3">
        <v>1</v>
      </c>
      <c r="AN32" s="3">
        <v>1</v>
      </c>
      <c r="AO32" s="40">
        <f t="shared" si="3"/>
        <v>9</v>
      </c>
      <c r="AP32" s="3">
        <v>1</v>
      </c>
      <c r="AQ32" s="3">
        <v>1</v>
      </c>
      <c r="AR32" s="3">
        <v>1</v>
      </c>
      <c r="AS32" s="3">
        <v>1</v>
      </c>
      <c r="AT32" s="3">
        <v>1</v>
      </c>
      <c r="AU32" s="3">
        <v>1</v>
      </c>
      <c r="AV32" s="3">
        <v>1</v>
      </c>
      <c r="AW32" s="43">
        <f t="shared" si="4"/>
        <v>7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43">
        <f t="shared" si="5"/>
        <v>7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3">
        <v>1</v>
      </c>
      <c r="BM32" s="40">
        <f t="shared" si="6"/>
        <v>7</v>
      </c>
      <c r="BP32" s="22">
        <f t="shared" si="7"/>
        <v>50</v>
      </c>
      <c r="BQ32" s="22">
        <f t="shared" si="8"/>
        <v>90.909090909090907</v>
      </c>
    </row>
    <row r="33" spans="1:69" ht="18" x14ac:dyDescent="0.35">
      <c r="A33" s="2">
        <v>28</v>
      </c>
      <c r="B33" s="16" t="s">
        <v>90</v>
      </c>
      <c r="C33" s="20" t="s">
        <v>91</v>
      </c>
      <c r="D33" s="3">
        <v>1</v>
      </c>
      <c r="E33" s="3">
        <v>1</v>
      </c>
      <c r="F33" s="3">
        <v>0</v>
      </c>
      <c r="G33" s="3">
        <v>0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9">
        <f t="shared" si="0"/>
        <v>7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9">
        <f t="shared" si="1"/>
        <v>8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9">
        <f t="shared" si="2"/>
        <v>7</v>
      </c>
      <c r="AE33" s="3">
        <v>1</v>
      </c>
      <c r="AF33" s="3">
        <v>1</v>
      </c>
      <c r="AG33" s="3">
        <v>1</v>
      </c>
      <c r="AH33" s="3">
        <v>0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40">
        <f t="shared" si="3"/>
        <v>9</v>
      </c>
      <c r="AP33" s="3">
        <v>1</v>
      </c>
      <c r="AQ33" s="3">
        <v>1</v>
      </c>
      <c r="AR33" s="3">
        <v>0</v>
      </c>
      <c r="AS33" s="3">
        <v>1</v>
      </c>
      <c r="AT33" s="3">
        <v>0</v>
      </c>
      <c r="AU33" s="3">
        <v>1</v>
      </c>
      <c r="AV33" s="3">
        <v>0</v>
      </c>
      <c r="AW33" s="43">
        <f t="shared" si="4"/>
        <v>4</v>
      </c>
      <c r="AX33" s="3">
        <v>0</v>
      </c>
      <c r="AY33" s="3">
        <v>0</v>
      </c>
      <c r="AZ33" s="3">
        <v>1</v>
      </c>
      <c r="BA33" s="3">
        <v>0</v>
      </c>
      <c r="BB33" s="3">
        <v>1</v>
      </c>
      <c r="BC33" s="3">
        <v>1</v>
      </c>
      <c r="BD33" s="3">
        <v>1</v>
      </c>
      <c r="BE33" s="43">
        <f t="shared" si="5"/>
        <v>4</v>
      </c>
      <c r="BF33" s="3">
        <v>0</v>
      </c>
      <c r="BG33" s="3">
        <v>1</v>
      </c>
      <c r="BH33" s="3">
        <v>0</v>
      </c>
      <c r="BI33" s="3">
        <v>0</v>
      </c>
      <c r="BJ33" s="3">
        <v>1</v>
      </c>
      <c r="BK33" s="3">
        <v>1</v>
      </c>
      <c r="BL33" s="3">
        <v>1</v>
      </c>
      <c r="BM33" s="40">
        <f t="shared" si="6"/>
        <v>4</v>
      </c>
      <c r="BP33" s="22">
        <f t="shared" si="7"/>
        <v>43</v>
      </c>
      <c r="BQ33" s="22">
        <f t="shared" si="8"/>
        <v>78.181818181818187</v>
      </c>
    </row>
    <row r="34" spans="1:69" ht="18" x14ac:dyDescent="0.35">
      <c r="A34" s="2">
        <v>29</v>
      </c>
      <c r="B34" s="16" t="s">
        <v>92</v>
      </c>
      <c r="C34" s="20" t="s">
        <v>93</v>
      </c>
      <c r="D34" s="3">
        <v>1</v>
      </c>
      <c r="E34" s="3">
        <v>1</v>
      </c>
      <c r="F34" s="3">
        <v>0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9">
        <f t="shared" si="0"/>
        <v>8</v>
      </c>
      <c r="N34" s="3">
        <v>1</v>
      </c>
      <c r="O34" s="3">
        <v>1</v>
      </c>
      <c r="P34" s="3">
        <v>0</v>
      </c>
      <c r="Q34" s="3">
        <v>0</v>
      </c>
      <c r="R34" s="3">
        <v>1</v>
      </c>
      <c r="S34" s="3">
        <v>1</v>
      </c>
      <c r="T34" s="3">
        <v>1</v>
      </c>
      <c r="U34" s="3">
        <v>1</v>
      </c>
      <c r="V34" s="39">
        <f t="shared" si="1"/>
        <v>6</v>
      </c>
      <c r="W34" s="3">
        <v>1</v>
      </c>
      <c r="X34" s="3">
        <v>1</v>
      </c>
      <c r="Y34" s="3">
        <v>0</v>
      </c>
      <c r="Z34" s="3">
        <v>1</v>
      </c>
      <c r="AA34" s="3">
        <v>1</v>
      </c>
      <c r="AB34" s="3">
        <v>1</v>
      </c>
      <c r="AC34" s="3">
        <v>1</v>
      </c>
      <c r="AD34" s="39">
        <f t="shared" si="2"/>
        <v>6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">
        <v>1</v>
      </c>
      <c r="AL34" s="3">
        <v>1</v>
      </c>
      <c r="AM34" s="3">
        <v>1</v>
      </c>
      <c r="AN34" s="3">
        <v>1</v>
      </c>
      <c r="AO34" s="40">
        <f t="shared" si="3"/>
        <v>10</v>
      </c>
      <c r="AP34" s="3">
        <v>1</v>
      </c>
      <c r="AQ34" s="3">
        <v>1</v>
      </c>
      <c r="AR34" s="3">
        <v>1</v>
      </c>
      <c r="AS34" s="3">
        <v>1</v>
      </c>
      <c r="AT34" s="3">
        <v>1</v>
      </c>
      <c r="AU34" s="3">
        <v>1</v>
      </c>
      <c r="AV34" s="3">
        <v>1</v>
      </c>
      <c r="AW34" s="43">
        <f t="shared" si="4"/>
        <v>7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43">
        <f t="shared" si="5"/>
        <v>7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3">
        <v>1</v>
      </c>
      <c r="BM34" s="40">
        <f t="shared" si="6"/>
        <v>7</v>
      </c>
      <c r="BP34" s="22">
        <f t="shared" si="7"/>
        <v>51</v>
      </c>
      <c r="BQ34" s="22">
        <f t="shared" si="8"/>
        <v>92.72727272727272</v>
      </c>
    </row>
    <row r="35" spans="1:69" ht="18" x14ac:dyDescent="0.35">
      <c r="A35" s="2">
        <v>30</v>
      </c>
      <c r="B35" s="16" t="s">
        <v>94</v>
      </c>
      <c r="C35" s="20" t="s">
        <v>95</v>
      </c>
      <c r="D35" s="3">
        <v>0</v>
      </c>
      <c r="E35" s="3">
        <v>0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9">
        <f t="shared" si="0"/>
        <v>7</v>
      </c>
      <c r="N35" s="3">
        <v>1</v>
      </c>
      <c r="O35" s="3">
        <v>1</v>
      </c>
      <c r="P35" s="3">
        <v>0</v>
      </c>
      <c r="Q35" s="3">
        <v>0</v>
      </c>
      <c r="R35" s="3">
        <v>1</v>
      </c>
      <c r="S35" s="3">
        <v>1</v>
      </c>
      <c r="T35" s="3">
        <v>1</v>
      </c>
      <c r="U35" s="3">
        <v>1</v>
      </c>
      <c r="V35" s="39">
        <f t="shared" si="1"/>
        <v>6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9">
        <f t="shared" si="2"/>
        <v>7</v>
      </c>
      <c r="AE35" s="3">
        <v>1</v>
      </c>
      <c r="AF35" s="3">
        <v>1</v>
      </c>
      <c r="AG35" s="3">
        <v>0</v>
      </c>
      <c r="AH35" s="3">
        <v>1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1</v>
      </c>
      <c r="AO35" s="40">
        <f t="shared" si="3"/>
        <v>9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43">
        <f t="shared" si="4"/>
        <v>7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43">
        <f t="shared" si="5"/>
        <v>7</v>
      </c>
      <c r="BF35" s="3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1</v>
      </c>
      <c r="BM35" s="40">
        <f t="shared" si="6"/>
        <v>7</v>
      </c>
      <c r="BP35" s="22">
        <f t="shared" si="7"/>
        <v>50</v>
      </c>
      <c r="BQ35" s="22">
        <f t="shared" si="8"/>
        <v>90.909090909090907</v>
      </c>
    </row>
    <row r="36" spans="1:69" ht="18" x14ac:dyDescent="0.35">
      <c r="A36" s="2">
        <v>31</v>
      </c>
      <c r="B36" s="16" t="s">
        <v>96</v>
      </c>
      <c r="C36" s="20" t="s">
        <v>97</v>
      </c>
      <c r="D36" s="3">
        <v>1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1</v>
      </c>
      <c r="K36" s="3">
        <v>1</v>
      </c>
      <c r="L36" s="3">
        <v>0</v>
      </c>
      <c r="M36" s="39">
        <f t="shared" si="0"/>
        <v>6</v>
      </c>
      <c r="N36" s="3">
        <v>1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9">
        <f t="shared" si="1"/>
        <v>8</v>
      </c>
      <c r="W36" s="3">
        <v>1</v>
      </c>
      <c r="X36" s="3">
        <v>1</v>
      </c>
      <c r="Y36" s="3">
        <v>0</v>
      </c>
      <c r="Z36" s="3">
        <v>1</v>
      </c>
      <c r="AA36" s="3">
        <v>1</v>
      </c>
      <c r="AB36" s="3">
        <v>1</v>
      </c>
      <c r="AC36" s="3">
        <v>1</v>
      </c>
      <c r="AD36" s="39">
        <f t="shared" si="2"/>
        <v>6</v>
      </c>
      <c r="AE36" s="3">
        <v>1</v>
      </c>
      <c r="AF36" s="3">
        <v>1</v>
      </c>
      <c r="AG36" s="3">
        <v>0</v>
      </c>
      <c r="AH36" s="3">
        <v>0</v>
      </c>
      <c r="AI36" s="3">
        <v>1</v>
      </c>
      <c r="AJ36" s="3">
        <v>1</v>
      </c>
      <c r="AK36" s="3">
        <v>1</v>
      </c>
      <c r="AL36" s="3">
        <v>1</v>
      </c>
      <c r="AM36" s="3">
        <v>1</v>
      </c>
      <c r="AN36" s="3">
        <v>1</v>
      </c>
      <c r="AO36" s="40">
        <f t="shared" si="3"/>
        <v>8</v>
      </c>
      <c r="AP36" s="3">
        <v>1</v>
      </c>
      <c r="AQ36" s="3">
        <v>1</v>
      </c>
      <c r="AR36" s="3">
        <v>1</v>
      </c>
      <c r="AS36" s="3">
        <v>1</v>
      </c>
      <c r="AT36" s="3">
        <v>1</v>
      </c>
      <c r="AU36" s="3">
        <v>1</v>
      </c>
      <c r="AV36" s="3">
        <v>1</v>
      </c>
      <c r="AW36" s="43">
        <f t="shared" si="4"/>
        <v>7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3">
        <v>1</v>
      </c>
      <c r="BD36" s="3">
        <v>1</v>
      </c>
      <c r="BE36" s="43">
        <f t="shared" si="5"/>
        <v>7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40">
        <f t="shared" si="6"/>
        <v>7</v>
      </c>
      <c r="BP36" s="22">
        <f t="shared" si="7"/>
        <v>49</v>
      </c>
      <c r="BQ36" s="22">
        <f t="shared" si="8"/>
        <v>89.090909090909093</v>
      </c>
    </row>
    <row r="37" spans="1:69" ht="18" x14ac:dyDescent="0.35">
      <c r="A37" s="2">
        <v>32</v>
      </c>
      <c r="B37" s="16" t="s">
        <v>98</v>
      </c>
      <c r="C37" s="20" t="s">
        <v>99</v>
      </c>
      <c r="D37" s="3">
        <v>1</v>
      </c>
      <c r="E37" s="3">
        <v>1</v>
      </c>
      <c r="F37" s="3">
        <v>0</v>
      </c>
      <c r="G37" s="3">
        <v>0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9">
        <f t="shared" si="0"/>
        <v>7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9">
        <f t="shared" si="1"/>
        <v>8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9">
        <f t="shared" si="2"/>
        <v>7</v>
      </c>
      <c r="AE37" s="3">
        <v>1</v>
      </c>
      <c r="AF37" s="3">
        <v>1</v>
      </c>
      <c r="AG37" s="3">
        <v>1</v>
      </c>
      <c r="AH37" s="3">
        <v>0</v>
      </c>
      <c r="AI37" s="3">
        <v>1</v>
      </c>
      <c r="AJ37" s="3">
        <v>1</v>
      </c>
      <c r="AK37" s="3">
        <v>1</v>
      </c>
      <c r="AL37" s="3">
        <v>1</v>
      </c>
      <c r="AM37" s="3">
        <v>1</v>
      </c>
      <c r="AN37" s="3">
        <v>1</v>
      </c>
      <c r="AO37" s="40">
        <f t="shared" si="3"/>
        <v>9</v>
      </c>
      <c r="AP37" s="3">
        <v>0</v>
      </c>
      <c r="AQ37" s="3">
        <v>1</v>
      </c>
      <c r="AR37" s="3">
        <v>0</v>
      </c>
      <c r="AS37" s="3">
        <v>1</v>
      </c>
      <c r="AT37" s="3">
        <v>0</v>
      </c>
      <c r="AU37" s="3">
        <v>1</v>
      </c>
      <c r="AV37" s="3">
        <v>1</v>
      </c>
      <c r="AW37" s="43">
        <f t="shared" ref="AW37:AW68" si="9">SUM(AP37:AV37)</f>
        <v>4</v>
      </c>
      <c r="AX37" s="3">
        <v>1</v>
      </c>
      <c r="AY37" s="3">
        <v>1</v>
      </c>
      <c r="AZ37" s="3">
        <v>0</v>
      </c>
      <c r="BA37" s="3">
        <v>0</v>
      </c>
      <c r="BB37" s="3">
        <v>1</v>
      </c>
      <c r="BC37" s="3">
        <v>0</v>
      </c>
      <c r="BD37" s="3">
        <v>1</v>
      </c>
      <c r="BE37" s="43">
        <f t="shared" ref="BE37:BE68" si="10">SUM(AX37:BD37)</f>
        <v>4</v>
      </c>
      <c r="BF37" s="3">
        <v>1</v>
      </c>
      <c r="BG37" s="3">
        <v>1</v>
      </c>
      <c r="BH37" s="3">
        <v>0</v>
      </c>
      <c r="BI37" s="3">
        <v>1</v>
      </c>
      <c r="BJ37" s="3">
        <v>0</v>
      </c>
      <c r="BK37" s="3">
        <v>0</v>
      </c>
      <c r="BL37" s="3">
        <v>1</v>
      </c>
      <c r="BM37" s="40">
        <f t="shared" ref="BM37:BM68" si="11">SUM(BF37:BL37)</f>
        <v>4</v>
      </c>
      <c r="BP37" s="22">
        <f t="shared" si="7"/>
        <v>43</v>
      </c>
      <c r="BQ37" s="22">
        <f t="shared" si="8"/>
        <v>78.181818181818187</v>
      </c>
    </row>
    <row r="38" spans="1:69" ht="18" x14ac:dyDescent="0.35">
      <c r="A38" s="2">
        <v>33</v>
      </c>
      <c r="B38" s="16" t="s">
        <v>100</v>
      </c>
      <c r="C38" s="20" t="s">
        <v>101</v>
      </c>
      <c r="D38" s="3">
        <v>1</v>
      </c>
      <c r="E38" s="3">
        <v>1</v>
      </c>
      <c r="F38" s="3">
        <v>0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9">
        <f t="shared" si="0"/>
        <v>8</v>
      </c>
      <c r="N38" s="3">
        <v>1</v>
      </c>
      <c r="O38" s="3">
        <v>1</v>
      </c>
      <c r="P38" s="3">
        <v>0</v>
      </c>
      <c r="Q38" s="3">
        <v>0</v>
      </c>
      <c r="R38" s="3">
        <v>1</v>
      </c>
      <c r="S38" s="3">
        <v>1</v>
      </c>
      <c r="T38" s="3">
        <v>1</v>
      </c>
      <c r="U38" s="3">
        <v>1</v>
      </c>
      <c r="V38" s="39">
        <f t="shared" si="1"/>
        <v>6</v>
      </c>
      <c r="W38" s="3">
        <v>1</v>
      </c>
      <c r="X38" s="3">
        <v>1</v>
      </c>
      <c r="Y38" s="3">
        <v>0</v>
      </c>
      <c r="Z38" s="3">
        <v>1</v>
      </c>
      <c r="AA38" s="3">
        <v>1</v>
      </c>
      <c r="AB38" s="3">
        <v>1</v>
      </c>
      <c r="AC38" s="3">
        <v>1</v>
      </c>
      <c r="AD38" s="39">
        <f t="shared" si="2"/>
        <v>6</v>
      </c>
      <c r="AE38" s="3">
        <v>1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1</v>
      </c>
      <c r="AN38" s="3">
        <v>1</v>
      </c>
      <c r="AO38" s="40">
        <f t="shared" ref="AO38:AO70" si="12">SUM(AE38:AN38)</f>
        <v>10</v>
      </c>
      <c r="AP38" s="3">
        <v>1</v>
      </c>
      <c r="AQ38" s="3">
        <v>1</v>
      </c>
      <c r="AR38" s="3">
        <v>1</v>
      </c>
      <c r="AS38" s="3">
        <v>1</v>
      </c>
      <c r="AT38" s="3">
        <v>1</v>
      </c>
      <c r="AU38" s="3">
        <v>1</v>
      </c>
      <c r="AV38" s="3">
        <v>1</v>
      </c>
      <c r="AW38" s="43">
        <f t="shared" si="9"/>
        <v>7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v>1</v>
      </c>
      <c r="BE38" s="43">
        <f t="shared" si="10"/>
        <v>7</v>
      </c>
      <c r="BF38" s="3">
        <v>1</v>
      </c>
      <c r="BG38" s="3">
        <v>1</v>
      </c>
      <c r="BH38" s="3">
        <v>1</v>
      </c>
      <c r="BI38" s="3">
        <v>1</v>
      </c>
      <c r="BJ38" s="3">
        <v>1</v>
      </c>
      <c r="BK38" s="3">
        <v>1</v>
      </c>
      <c r="BL38" s="3">
        <v>1</v>
      </c>
      <c r="BM38" s="40">
        <f t="shared" si="11"/>
        <v>7</v>
      </c>
      <c r="BP38" s="22">
        <f t="shared" si="7"/>
        <v>51</v>
      </c>
      <c r="BQ38" s="22">
        <f t="shared" si="8"/>
        <v>92.72727272727272</v>
      </c>
    </row>
    <row r="39" spans="1:69" ht="18" x14ac:dyDescent="0.35">
      <c r="A39" s="2">
        <v>34</v>
      </c>
      <c r="B39" s="16" t="s">
        <v>102</v>
      </c>
      <c r="C39" s="20" t="s">
        <v>103</v>
      </c>
      <c r="D39" s="3">
        <v>1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1</v>
      </c>
      <c r="K39" s="3">
        <v>1</v>
      </c>
      <c r="L39" s="3">
        <v>0</v>
      </c>
      <c r="M39" s="39">
        <f t="shared" si="0"/>
        <v>6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9">
        <f t="shared" si="1"/>
        <v>8</v>
      </c>
      <c r="W39" s="3">
        <v>1</v>
      </c>
      <c r="X39" s="3">
        <v>1</v>
      </c>
      <c r="Y39" s="3">
        <v>0</v>
      </c>
      <c r="Z39" s="3">
        <v>1</v>
      </c>
      <c r="AA39" s="3">
        <v>1</v>
      </c>
      <c r="AB39" s="3">
        <v>1</v>
      </c>
      <c r="AC39" s="3">
        <v>1</v>
      </c>
      <c r="AD39" s="39">
        <f t="shared" si="2"/>
        <v>6</v>
      </c>
      <c r="AE39" s="3">
        <v>1</v>
      </c>
      <c r="AF39" s="3">
        <v>1</v>
      </c>
      <c r="AG39" s="3">
        <v>0</v>
      </c>
      <c r="AH39" s="3">
        <v>0</v>
      </c>
      <c r="AI39" s="3">
        <v>1</v>
      </c>
      <c r="AJ39" s="3">
        <v>1</v>
      </c>
      <c r="AK39" s="3">
        <v>1</v>
      </c>
      <c r="AL39" s="3">
        <v>1</v>
      </c>
      <c r="AM39" s="3">
        <v>1</v>
      </c>
      <c r="AN39" s="3">
        <v>1</v>
      </c>
      <c r="AO39" s="40">
        <f t="shared" si="12"/>
        <v>8</v>
      </c>
      <c r="AP39" s="3">
        <v>1</v>
      </c>
      <c r="AQ39" s="3">
        <v>1</v>
      </c>
      <c r="AR39" s="3">
        <v>1</v>
      </c>
      <c r="AS39" s="3">
        <v>1</v>
      </c>
      <c r="AT39" s="3">
        <v>1</v>
      </c>
      <c r="AU39" s="3">
        <v>1</v>
      </c>
      <c r="AV39" s="3">
        <v>1</v>
      </c>
      <c r="AW39" s="43">
        <f t="shared" si="9"/>
        <v>7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3">
        <v>1</v>
      </c>
      <c r="BD39" s="3">
        <v>1</v>
      </c>
      <c r="BE39" s="43">
        <f t="shared" si="10"/>
        <v>7</v>
      </c>
      <c r="BF39" s="3">
        <v>1</v>
      </c>
      <c r="BG39" s="3">
        <v>1</v>
      </c>
      <c r="BH39" s="3">
        <v>1</v>
      </c>
      <c r="BI39" s="3">
        <v>1</v>
      </c>
      <c r="BJ39" s="3">
        <v>1</v>
      </c>
      <c r="BK39" s="3">
        <v>1</v>
      </c>
      <c r="BL39" s="3">
        <v>1</v>
      </c>
      <c r="BM39" s="40">
        <f t="shared" si="11"/>
        <v>7</v>
      </c>
      <c r="BP39" s="22">
        <f t="shared" si="7"/>
        <v>49</v>
      </c>
      <c r="BQ39" s="22">
        <f t="shared" si="8"/>
        <v>89.090909090909093</v>
      </c>
    </row>
    <row r="40" spans="1:69" ht="18" x14ac:dyDescent="0.35">
      <c r="A40" s="2">
        <v>35</v>
      </c>
      <c r="B40" s="16" t="s">
        <v>104</v>
      </c>
      <c r="C40" s="20" t="s">
        <v>105</v>
      </c>
      <c r="D40" s="3">
        <v>0</v>
      </c>
      <c r="E40" s="3">
        <v>0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9">
        <f t="shared" si="0"/>
        <v>7</v>
      </c>
      <c r="N40" s="3">
        <v>1</v>
      </c>
      <c r="O40" s="3">
        <v>1</v>
      </c>
      <c r="P40" s="3">
        <v>0</v>
      </c>
      <c r="Q40" s="3">
        <v>0</v>
      </c>
      <c r="R40" s="3">
        <v>1</v>
      </c>
      <c r="S40" s="3">
        <v>1</v>
      </c>
      <c r="T40" s="3">
        <v>1</v>
      </c>
      <c r="U40" s="3">
        <v>1</v>
      </c>
      <c r="V40" s="39">
        <f t="shared" si="1"/>
        <v>6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9">
        <f t="shared" si="2"/>
        <v>7</v>
      </c>
      <c r="AE40" s="3">
        <v>1</v>
      </c>
      <c r="AF40" s="3">
        <v>1</v>
      </c>
      <c r="AG40" s="3">
        <v>0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3">
        <v>1</v>
      </c>
      <c r="AN40" s="3">
        <v>1</v>
      </c>
      <c r="AO40" s="40">
        <f t="shared" si="12"/>
        <v>9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3">
        <v>1</v>
      </c>
      <c r="AW40" s="43">
        <f t="shared" si="9"/>
        <v>7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3">
        <v>1</v>
      </c>
      <c r="BD40" s="3">
        <v>1</v>
      </c>
      <c r="BE40" s="43">
        <f t="shared" si="10"/>
        <v>7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L40" s="3">
        <v>1</v>
      </c>
      <c r="BM40" s="40">
        <f t="shared" si="11"/>
        <v>7</v>
      </c>
      <c r="BP40" s="22">
        <f t="shared" si="7"/>
        <v>50</v>
      </c>
      <c r="BQ40" s="22">
        <f t="shared" si="8"/>
        <v>90.909090909090907</v>
      </c>
    </row>
    <row r="41" spans="1:69" ht="18" x14ac:dyDescent="0.35">
      <c r="A41" s="2">
        <v>36</v>
      </c>
      <c r="B41" s="16" t="s">
        <v>106</v>
      </c>
      <c r="C41" s="20" t="s">
        <v>107</v>
      </c>
      <c r="D41" s="3">
        <v>1</v>
      </c>
      <c r="E41" s="3">
        <v>1</v>
      </c>
      <c r="F41" s="3">
        <v>0</v>
      </c>
      <c r="G41" s="3">
        <v>0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9">
        <f t="shared" si="0"/>
        <v>7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9">
        <f t="shared" si="1"/>
        <v>8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9">
        <f t="shared" si="2"/>
        <v>7</v>
      </c>
      <c r="AE41" s="3">
        <v>1</v>
      </c>
      <c r="AF41" s="3">
        <v>1</v>
      </c>
      <c r="AG41" s="3">
        <v>1</v>
      </c>
      <c r="AH41" s="3">
        <v>0</v>
      </c>
      <c r="AI41" s="3">
        <v>1</v>
      </c>
      <c r="AJ41" s="3">
        <v>1</v>
      </c>
      <c r="AK41" s="3">
        <v>1</v>
      </c>
      <c r="AL41" s="3">
        <v>1</v>
      </c>
      <c r="AM41" s="3">
        <v>1</v>
      </c>
      <c r="AN41" s="3">
        <v>1</v>
      </c>
      <c r="AO41" s="40">
        <f t="shared" si="12"/>
        <v>9</v>
      </c>
      <c r="AP41" s="3">
        <v>1</v>
      </c>
      <c r="AQ41" s="3">
        <v>1</v>
      </c>
      <c r="AR41" s="3">
        <v>1</v>
      </c>
      <c r="AS41" s="3">
        <v>1</v>
      </c>
      <c r="AT41" s="3">
        <v>1</v>
      </c>
      <c r="AU41" s="3">
        <v>1</v>
      </c>
      <c r="AV41" s="3">
        <v>1</v>
      </c>
      <c r="AW41" s="43">
        <f t="shared" si="9"/>
        <v>7</v>
      </c>
      <c r="AX41" s="3">
        <v>1</v>
      </c>
      <c r="AY41" s="3">
        <v>1</v>
      </c>
      <c r="AZ41" s="3">
        <v>1</v>
      </c>
      <c r="BA41" s="3">
        <v>0</v>
      </c>
      <c r="BB41" s="3">
        <v>0</v>
      </c>
      <c r="BC41" s="3">
        <v>1</v>
      </c>
      <c r="BD41" s="3">
        <v>0</v>
      </c>
      <c r="BE41" s="43">
        <f t="shared" si="10"/>
        <v>4</v>
      </c>
      <c r="BF41" s="3">
        <v>1</v>
      </c>
      <c r="BG41" s="3">
        <v>1</v>
      </c>
      <c r="BH41" s="3">
        <v>1</v>
      </c>
      <c r="BI41" s="3">
        <v>0</v>
      </c>
      <c r="BJ41" s="3">
        <v>1</v>
      </c>
      <c r="BK41" s="3">
        <v>0</v>
      </c>
      <c r="BL41" s="3">
        <v>0</v>
      </c>
      <c r="BM41" s="40">
        <f t="shared" si="11"/>
        <v>4</v>
      </c>
      <c r="BP41" s="22">
        <f t="shared" si="7"/>
        <v>46</v>
      </c>
      <c r="BQ41" s="22">
        <f t="shared" si="8"/>
        <v>83.636363636363626</v>
      </c>
    </row>
    <row r="42" spans="1:69" ht="18" x14ac:dyDescent="0.35">
      <c r="A42" s="2">
        <v>37</v>
      </c>
      <c r="B42" s="16" t="s">
        <v>108</v>
      </c>
      <c r="C42" s="20" t="s">
        <v>109</v>
      </c>
      <c r="D42" s="3">
        <v>1</v>
      </c>
      <c r="E42" s="3">
        <v>1</v>
      </c>
      <c r="F42" s="3">
        <v>0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9">
        <f t="shared" si="0"/>
        <v>8</v>
      </c>
      <c r="N42" s="3">
        <v>1</v>
      </c>
      <c r="O42" s="3">
        <v>1</v>
      </c>
      <c r="P42" s="3">
        <v>0</v>
      </c>
      <c r="Q42" s="3">
        <v>0</v>
      </c>
      <c r="R42" s="3">
        <v>1</v>
      </c>
      <c r="S42" s="3">
        <v>1</v>
      </c>
      <c r="T42" s="3">
        <v>1</v>
      </c>
      <c r="U42" s="3">
        <v>1</v>
      </c>
      <c r="V42" s="39">
        <f t="shared" si="1"/>
        <v>6</v>
      </c>
      <c r="W42" s="3">
        <v>1</v>
      </c>
      <c r="X42" s="3">
        <v>1</v>
      </c>
      <c r="Y42" s="3">
        <v>0</v>
      </c>
      <c r="Z42" s="3">
        <v>1</v>
      </c>
      <c r="AA42" s="3">
        <v>1</v>
      </c>
      <c r="AB42" s="3">
        <v>1</v>
      </c>
      <c r="AC42" s="3">
        <v>1</v>
      </c>
      <c r="AD42" s="39">
        <f t="shared" si="2"/>
        <v>6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3">
        <v>1</v>
      </c>
      <c r="AN42" s="3">
        <v>1</v>
      </c>
      <c r="AO42" s="40">
        <f t="shared" si="12"/>
        <v>10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  <c r="AU42" s="3">
        <v>1</v>
      </c>
      <c r="AV42" s="3">
        <v>1</v>
      </c>
      <c r="AW42" s="43">
        <f t="shared" si="9"/>
        <v>7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 s="3">
        <v>1</v>
      </c>
      <c r="BD42" s="3">
        <v>1</v>
      </c>
      <c r="BE42" s="43">
        <f t="shared" si="10"/>
        <v>7</v>
      </c>
      <c r="BF42" s="3">
        <v>1</v>
      </c>
      <c r="BG42" s="3">
        <v>1</v>
      </c>
      <c r="BH42" s="3">
        <v>1</v>
      </c>
      <c r="BI42" s="3">
        <v>1</v>
      </c>
      <c r="BJ42" s="3">
        <v>1</v>
      </c>
      <c r="BK42" s="3">
        <v>1</v>
      </c>
      <c r="BL42" s="3">
        <v>1</v>
      </c>
      <c r="BM42" s="40">
        <f t="shared" si="11"/>
        <v>7</v>
      </c>
      <c r="BP42" s="22">
        <f t="shared" si="7"/>
        <v>51</v>
      </c>
      <c r="BQ42" s="22">
        <f t="shared" si="8"/>
        <v>92.72727272727272</v>
      </c>
    </row>
    <row r="43" spans="1:69" ht="18" x14ac:dyDescent="0.35">
      <c r="A43" s="2">
        <v>38</v>
      </c>
      <c r="B43" s="16" t="s">
        <v>110</v>
      </c>
      <c r="C43" s="20" t="s">
        <v>111</v>
      </c>
      <c r="D43" s="3">
        <v>1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1</v>
      </c>
      <c r="K43" s="3">
        <v>1</v>
      </c>
      <c r="L43" s="3">
        <v>0</v>
      </c>
      <c r="M43" s="39">
        <f t="shared" si="0"/>
        <v>6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9">
        <f t="shared" si="1"/>
        <v>8</v>
      </c>
      <c r="W43" s="3">
        <v>1</v>
      </c>
      <c r="X43" s="3">
        <v>1</v>
      </c>
      <c r="Y43" s="3">
        <v>0</v>
      </c>
      <c r="Z43" s="3">
        <v>1</v>
      </c>
      <c r="AA43" s="3">
        <v>1</v>
      </c>
      <c r="AB43" s="3">
        <v>1</v>
      </c>
      <c r="AC43" s="3">
        <v>1</v>
      </c>
      <c r="AD43" s="39">
        <f t="shared" si="2"/>
        <v>6</v>
      </c>
      <c r="AE43" s="3">
        <v>1</v>
      </c>
      <c r="AF43" s="3">
        <v>1</v>
      </c>
      <c r="AG43" s="3">
        <v>0</v>
      </c>
      <c r="AH43" s="3">
        <v>0</v>
      </c>
      <c r="AI43" s="3">
        <v>1</v>
      </c>
      <c r="AJ43" s="3">
        <v>1</v>
      </c>
      <c r="AK43" s="3">
        <v>1</v>
      </c>
      <c r="AL43" s="3">
        <v>1</v>
      </c>
      <c r="AM43" s="3">
        <v>1</v>
      </c>
      <c r="AN43" s="3">
        <v>1</v>
      </c>
      <c r="AO43" s="40">
        <f t="shared" si="12"/>
        <v>8</v>
      </c>
      <c r="AP43" s="3">
        <v>1</v>
      </c>
      <c r="AQ43" s="3">
        <v>1</v>
      </c>
      <c r="AR43" s="3">
        <v>1</v>
      </c>
      <c r="AS43" s="3">
        <v>1</v>
      </c>
      <c r="AT43" s="3">
        <v>1</v>
      </c>
      <c r="AU43" s="3">
        <v>1</v>
      </c>
      <c r="AV43" s="3">
        <v>1</v>
      </c>
      <c r="AW43" s="43">
        <f t="shared" si="9"/>
        <v>7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 s="3">
        <v>1</v>
      </c>
      <c r="BD43" s="3">
        <v>1</v>
      </c>
      <c r="BE43" s="43">
        <f t="shared" si="10"/>
        <v>7</v>
      </c>
      <c r="BF43" s="3">
        <v>1</v>
      </c>
      <c r="BG43" s="3">
        <v>1</v>
      </c>
      <c r="BH43" s="3">
        <v>1</v>
      </c>
      <c r="BI43" s="3">
        <v>1</v>
      </c>
      <c r="BJ43" s="3">
        <v>1</v>
      </c>
      <c r="BK43" s="3">
        <v>1</v>
      </c>
      <c r="BL43" s="3">
        <v>1</v>
      </c>
      <c r="BM43" s="40">
        <f t="shared" si="11"/>
        <v>7</v>
      </c>
      <c r="BP43" s="22">
        <f t="shared" si="7"/>
        <v>49</v>
      </c>
      <c r="BQ43" s="22">
        <f t="shared" si="8"/>
        <v>89.090909090909093</v>
      </c>
    </row>
    <row r="44" spans="1:69" ht="18" x14ac:dyDescent="0.35">
      <c r="A44" s="2">
        <v>39</v>
      </c>
      <c r="B44" s="16" t="s">
        <v>112</v>
      </c>
      <c r="C44" s="20" t="s">
        <v>113</v>
      </c>
      <c r="D44" s="3">
        <v>0</v>
      </c>
      <c r="E44" s="3">
        <v>0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9">
        <f t="shared" si="0"/>
        <v>7</v>
      </c>
      <c r="N44" s="3">
        <v>1</v>
      </c>
      <c r="O44" s="3">
        <v>1</v>
      </c>
      <c r="P44" s="3">
        <v>0</v>
      </c>
      <c r="Q44" s="3">
        <v>0</v>
      </c>
      <c r="R44" s="3">
        <v>1</v>
      </c>
      <c r="S44" s="3">
        <v>1</v>
      </c>
      <c r="T44" s="3">
        <v>1</v>
      </c>
      <c r="U44" s="3">
        <v>1</v>
      </c>
      <c r="V44" s="39">
        <f t="shared" si="1"/>
        <v>6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9">
        <f t="shared" si="2"/>
        <v>7</v>
      </c>
      <c r="AE44" s="3">
        <v>1</v>
      </c>
      <c r="AF44" s="3">
        <v>1</v>
      </c>
      <c r="AG44" s="3">
        <v>0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40">
        <f t="shared" si="12"/>
        <v>9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43">
        <f t="shared" si="9"/>
        <v>7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43">
        <f t="shared" si="10"/>
        <v>7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3">
        <v>1</v>
      </c>
      <c r="BM44" s="40">
        <f t="shared" si="11"/>
        <v>7</v>
      </c>
      <c r="BP44" s="22">
        <f t="shared" si="7"/>
        <v>50</v>
      </c>
      <c r="BQ44" s="22">
        <f t="shared" si="8"/>
        <v>90.909090909090907</v>
      </c>
    </row>
    <row r="45" spans="1:69" ht="18" x14ac:dyDescent="0.35">
      <c r="A45" s="2">
        <v>40</v>
      </c>
      <c r="B45" s="16" t="s">
        <v>114</v>
      </c>
      <c r="C45" s="20" t="s">
        <v>115</v>
      </c>
      <c r="D45" s="3">
        <v>1</v>
      </c>
      <c r="E45" s="3">
        <v>1</v>
      </c>
      <c r="F45" s="3">
        <v>0</v>
      </c>
      <c r="G45" s="3">
        <v>0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9">
        <f t="shared" si="0"/>
        <v>7</v>
      </c>
      <c r="N45" s="3">
        <v>1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9">
        <f t="shared" si="1"/>
        <v>8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9">
        <f t="shared" si="2"/>
        <v>7</v>
      </c>
      <c r="AE45" s="3">
        <v>1</v>
      </c>
      <c r="AF45" s="3">
        <v>1</v>
      </c>
      <c r="AG45" s="3">
        <v>1</v>
      </c>
      <c r="AH45" s="3">
        <v>0</v>
      </c>
      <c r="AI45" s="3">
        <v>1</v>
      </c>
      <c r="AJ45" s="3">
        <v>1</v>
      </c>
      <c r="AK45" s="3">
        <v>1</v>
      </c>
      <c r="AL45" s="3">
        <v>1</v>
      </c>
      <c r="AM45" s="3">
        <v>1</v>
      </c>
      <c r="AN45" s="3">
        <v>1</v>
      </c>
      <c r="AO45" s="40">
        <f t="shared" si="12"/>
        <v>9</v>
      </c>
      <c r="AP45" s="3">
        <v>0</v>
      </c>
      <c r="AQ45" s="3">
        <v>1</v>
      </c>
      <c r="AR45" s="3">
        <v>0</v>
      </c>
      <c r="AS45" s="3">
        <v>1</v>
      </c>
      <c r="AT45" s="3">
        <v>0</v>
      </c>
      <c r="AU45" s="3">
        <v>1</v>
      </c>
      <c r="AV45" s="3">
        <v>1</v>
      </c>
      <c r="AW45" s="43">
        <f t="shared" si="9"/>
        <v>4</v>
      </c>
      <c r="AX45" s="3">
        <v>0</v>
      </c>
      <c r="AY45" s="3">
        <v>0</v>
      </c>
      <c r="AZ45" s="3">
        <v>1</v>
      </c>
      <c r="BA45" s="3">
        <v>0</v>
      </c>
      <c r="BB45" s="3">
        <v>1</v>
      </c>
      <c r="BC45" s="3">
        <v>1</v>
      </c>
      <c r="BD45" s="3">
        <v>1</v>
      </c>
      <c r="BE45" s="43">
        <f t="shared" si="10"/>
        <v>4</v>
      </c>
      <c r="BF45" s="3">
        <v>0</v>
      </c>
      <c r="BG45" s="3">
        <v>1</v>
      </c>
      <c r="BH45" s="3">
        <v>0</v>
      </c>
      <c r="BI45" s="3">
        <v>0</v>
      </c>
      <c r="BJ45" s="3">
        <v>1</v>
      </c>
      <c r="BK45" s="3">
        <v>1</v>
      </c>
      <c r="BL45" s="3">
        <v>1</v>
      </c>
      <c r="BM45" s="40">
        <f t="shared" si="11"/>
        <v>4</v>
      </c>
      <c r="BP45" s="22">
        <f t="shared" si="7"/>
        <v>43</v>
      </c>
      <c r="BQ45" s="22">
        <f t="shared" si="8"/>
        <v>78.181818181818187</v>
      </c>
    </row>
    <row r="46" spans="1:69" ht="18" x14ac:dyDescent="0.35">
      <c r="A46" s="2">
        <v>41</v>
      </c>
      <c r="B46" s="16" t="s">
        <v>116</v>
      </c>
      <c r="C46" s="20" t="s">
        <v>117</v>
      </c>
      <c r="D46" s="3">
        <v>1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1</v>
      </c>
      <c r="K46" s="3">
        <v>1</v>
      </c>
      <c r="L46" s="3">
        <v>0</v>
      </c>
      <c r="M46" s="39">
        <f t="shared" si="0"/>
        <v>6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9">
        <f t="shared" si="1"/>
        <v>8</v>
      </c>
      <c r="W46" s="3">
        <v>1</v>
      </c>
      <c r="X46" s="3">
        <v>1</v>
      </c>
      <c r="Y46" s="3">
        <v>0</v>
      </c>
      <c r="Z46" s="3">
        <v>1</v>
      </c>
      <c r="AA46" s="3">
        <v>1</v>
      </c>
      <c r="AB46" s="3">
        <v>1</v>
      </c>
      <c r="AC46" s="3">
        <v>1</v>
      </c>
      <c r="AD46" s="39">
        <f t="shared" si="2"/>
        <v>6</v>
      </c>
      <c r="AE46" s="3">
        <v>1</v>
      </c>
      <c r="AF46" s="3">
        <v>1</v>
      </c>
      <c r="AG46" s="3">
        <v>0</v>
      </c>
      <c r="AH46" s="3">
        <v>0</v>
      </c>
      <c r="AI46" s="3">
        <v>1</v>
      </c>
      <c r="AJ46" s="3">
        <v>1</v>
      </c>
      <c r="AK46" s="3">
        <v>1</v>
      </c>
      <c r="AL46" s="3">
        <v>1</v>
      </c>
      <c r="AM46" s="3">
        <v>1</v>
      </c>
      <c r="AN46" s="3">
        <v>1</v>
      </c>
      <c r="AO46" s="40">
        <f t="shared" si="12"/>
        <v>8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  <c r="AU46" s="3">
        <v>1</v>
      </c>
      <c r="AV46" s="3">
        <v>1</v>
      </c>
      <c r="AW46" s="43">
        <f t="shared" si="9"/>
        <v>7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43">
        <f t="shared" si="10"/>
        <v>7</v>
      </c>
      <c r="BF46" s="3">
        <v>1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3">
        <v>1</v>
      </c>
      <c r="BM46" s="40">
        <f t="shared" si="11"/>
        <v>7</v>
      </c>
      <c r="BP46" s="22">
        <f t="shared" si="7"/>
        <v>49</v>
      </c>
      <c r="BQ46" s="22">
        <f t="shared" si="8"/>
        <v>89.090909090909093</v>
      </c>
    </row>
    <row r="47" spans="1:69" ht="18" x14ac:dyDescent="0.35">
      <c r="A47" s="2">
        <v>42</v>
      </c>
      <c r="B47" s="16" t="s">
        <v>118</v>
      </c>
      <c r="C47" s="20" t="s">
        <v>119</v>
      </c>
      <c r="D47" s="3">
        <v>1</v>
      </c>
      <c r="E47" s="3">
        <v>1</v>
      </c>
      <c r="F47" s="3">
        <v>0</v>
      </c>
      <c r="G47" s="3">
        <v>0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9">
        <f t="shared" si="0"/>
        <v>7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9">
        <f t="shared" si="1"/>
        <v>8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9">
        <f t="shared" si="2"/>
        <v>7</v>
      </c>
      <c r="AE47" s="3">
        <v>1</v>
      </c>
      <c r="AF47" s="3">
        <v>1</v>
      </c>
      <c r="AG47" s="3">
        <v>1</v>
      </c>
      <c r="AH47" s="3">
        <v>0</v>
      </c>
      <c r="AI47" s="3">
        <v>1</v>
      </c>
      <c r="AJ47" s="3">
        <v>1</v>
      </c>
      <c r="AK47" s="3">
        <v>1</v>
      </c>
      <c r="AL47" s="3">
        <v>1</v>
      </c>
      <c r="AM47" s="3">
        <v>1</v>
      </c>
      <c r="AN47" s="3">
        <v>1</v>
      </c>
      <c r="AO47" s="40">
        <f t="shared" si="12"/>
        <v>9</v>
      </c>
      <c r="AP47" s="3">
        <v>1</v>
      </c>
      <c r="AQ47" s="3">
        <v>1</v>
      </c>
      <c r="AR47" s="3">
        <v>0</v>
      </c>
      <c r="AS47" s="3">
        <v>1</v>
      </c>
      <c r="AT47" s="3">
        <v>0</v>
      </c>
      <c r="AU47" s="3">
        <v>1</v>
      </c>
      <c r="AV47" s="3">
        <v>0</v>
      </c>
      <c r="AW47" s="43">
        <f t="shared" si="9"/>
        <v>4</v>
      </c>
      <c r="AX47" s="3">
        <v>1</v>
      </c>
      <c r="AY47" s="3">
        <v>1</v>
      </c>
      <c r="AZ47" s="3">
        <v>0</v>
      </c>
      <c r="BA47" s="3">
        <v>0</v>
      </c>
      <c r="BB47" s="3">
        <v>1</v>
      </c>
      <c r="BC47" s="3">
        <v>0</v>
      </c>
      <c r="BD47" s="3">
        <v>1</v>
      </c>
      <c r="BE47" s="43">
        <f t="shared" si="10"/>
        <v>4</v>
      </c>
      <c r="BF47" s="3">
        <v>1</v>
      </c>
      <c r="BG47" s="3">
        <v>1</v>
      </c>
      <c r="BH47" s="3">
        <v>0</v>
      </c>
      <c r="BI47" s="3">
        <v>1</v>
      </c>
      <c r="BJ47" s="3">
        <v>0</v>
      </c>
      <c r="BK47" s="3">
        <v>0</v>
      </c>
      <c r="BL47" s="3">
        <v>1</v>
      </c>
      <c r="BM47" s="40">
        <f t="shared" si="11"/>
        <v>4</v>
      </c>
      <c r="BP47" s="22">
        <f t="shared" si="7"/>
        <v>43</v>
      </c>
      <c r="BQ47" s="22">
        <f t="shared" si="8"/>
        <v>78.181818181818187</v>
      </c>
    </row>
    <row r="48" spans="1:69" ht="18" x14ac:dyDescent="0.35">
      <c r="A48" s="2">
        <v>43</v>
      </c>
      <c r="B48" s="16" t="s">
        <v>120</v>
      </c>
      <c r="C48" s="20" t="s">
        <v>121</v>
      </c>
      <c r="D48" s="3">
        <v>0</v>
      </c>
      <c r="E48" s="3">
        <v>0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9">
        <f t="shared" si="0"/>
        <v>7</v>
      </c>
      <c r="N48" s="3">
        <v>1</v>
      </c>
      <c r="O48" s="3">
        <v>1</v>
      </c>
      <c r="P48" s="3">
        <v>0</v>
      </c>
      <c r="Q48" s="3">
        <v>0</v>
      </c>
      <c r="R48" s="3">
        <v>1</v>
      </c>
      <c r="S48" s="3">
        <v>1</v>
      </c>
      <c r="T48" s="3">
        <v>1</v>
      </c>
      <c r="U48" s="3">
        <v>1</v>
      </c>
      <c r="V48" s="39">
        <f t="shared" si="1"/>
        <v>6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9">
        <f t="shared" si="2"/>
        <v>7</v>
      </c>
      <c r="AE48" s="3">
        <v>1</v>
      </c>
      <c r="AF48" s="3">
        <v>1</v>
      </c>
      <c r="AG48" s="3">
        <v>0</v>
      </c>
      <c r="AH48" s="3">
        <v>1</v>
      </c>
      <c r="AI48" s="3">
        <v>1</v>
      </c>
      <c r="AJ48" s="3">
        <v>1</v>
      </c>
      <c r="AK48" s="3">
        <v>1</v>
      </c>
      <c r="AL48" s="3">
        <v>1</v>
      </c>
      <c r="AM48" s="3">
        <v>1</v>
      </c>
      <c r="AN48" s="3">
        <v>1</v>
      </c>
      <c r="AO48" s="40">
        <f t="shared" si="12"/>
        <v>9</v>
      </c>
      <c r="AP48" s="3">
        <v>1</v>
      </c>
      <c r="AQ48" s="3">
        <v>1</v>
      </c>
      <c r="AR48" s="3">
        <v>1</v>
      </c>
      <c r="AS48" s="3">
        <v>1</v>
      </c>
      <c r="AT48" s="3">
        <v>1</v>
      </c>
      <c r="AU48" s="3">
        <v>1</v>
      </c>
      <c r="AV48" s="3">
        <v>1</v>
      </c>
      <c r="AW48" s="43">
        <f t="shared" si="9"/>
        <v>7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  <c r="BD48" s="3">
        <v>1</v>
      </c>
      <c r="BE48" s="43">
        <f t="shared" si="10"/>
        <v>7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40">
        <f t="shared" si="11"/>
        <v>7</v>
      </c>
      <c r="BP48" s="22">
        <f t="shared" si="7"/>
        <v>50</v>
      </c>
      <c r="BQ48" s="22">
        <f t="shared" si="8"/>
        <v>90.909090909090907</v>
      </c>
    </row>
    <row r="49" spans="1:69" ht="18" x14ac:dyDescent="0.35">
      <c r="A49" s="2">
        <v>44</v>
      </c>
      <c r="B49" s="16" t="s">
        <v>122</v>
      </c>
      <c r="C49" s="20" t="s">
        <v>123</v>
      </c>
      <c r="D49" s="3">
        <v>1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1</v>
      </c>
      <c r="K49" s="3">
        <v>1</v>
      </c>
      <c r="L49" s="3">
        <v>0</v>
      </c>
      <c r="M49" s="39">
        <f t="shared" si="0"/>
        <v>6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9">
        <f t="shared" si="1"/>
        <v>8</v>
      </c>
      <c r="W49" s="3">
        <v>1</v>
      </c>
      <c r="X49" s="3">
        <v>1</v>
      </c>
      <c r="Y49" s="3">
        <v>0</v>
      </c>
      <c r="Z49" s="3">
        <v>1</v>
      </c>
      <c r="AA49" s="3">
        <v>1</v>
      </c>
      <c r="AB49" s="3">
        <v>1</v>
      </c>
      <c r="AC49" s="3">
        <v>1</v>
      </c>
      <c r="AD49" s="39">
        <f t="shared" si="2"/>
        <v>6</v>
      </c>
      <c r="AE49" s="3">
        <v>1</v>
      </c>
      <c r="AF49" s="3">
        <v>1</v>
      </c>
      <c r="AG49" s="3">
        <v>0</v>
      </c>
      <c r="AH49" s="3">
        <v>0</v>
      </c>
      <c r="AI49" s="3">
        <v>1</v>
      </c>
      <c r="AJ49" s="3">
        <v>1</v>
      </c>
      <c r="AK49" s="3">
        <v>1</v>
      </c>
      <c r="AL49" s="3">
        <v>1</v>
      </c>
      <c r="AM49" s="3">
        <v>1</v>
      </c>
      <c r="AN49" s="3">
        <v>1</v>
      </c>
      <c r="AO49" s="40">
        <f t="shared" si="12"/>
        <v>8</v>
      </c>
      <c r="AP49" s="3">
        <v>1</v>
      </c>
      <c r="AQ49" s="3">
        <v>1</v>
      </c>
      <c r="AR49" s="3">
        <v>1</v>
      </c>
      <c r="AS49" s="3">
        <v>1</v>
      </c>
      <c r="AT49" s="3">
        <v>1</v>
      </c>
      <c r="AU49" s="3">
        <v>1</v>
      </c>
      <c r="AV49" s="3">
        <v>1</v>
      </c>
      <c r="AW49" s="43">
        <f t="shared" si="9"/>
        <v>7</v>
      </c>
      <c r="AX49" s="3">
        <v>1</v>
      </c>
      <c r="AY49" s="3">
        <v>1</v>
      </c>
      <c r="AZ49" s="3">
        <v>1</v>
      </c>
      <c r="BA49" s="3">
        <v>1</v>
      </c>
      <c r="BB49" s="3">
        <v>1</v>
      </c>
      <c r="BC49" s="3">
        <v>1</v>
      </c>
      <c r="BD49" s="3">
        <v>1</v>
      </c>
      <c r="BE49" s="43">
        <f t="shared" si="10"/>
        <v>7</v>
      </c>
      <c r="BF49" s="3">
        <v>1</v>
      </c>
      <c r="BG49" s="3">
        <v>1</v>
      </c>
      <c r="BH49" s="3">
        <v>1</v>
      </c>
      <c r="BI49" s="3">
        <v>1</v>
      </c>
      <c r="BJ49" s="3">
        <v>1</v>
      </c>
      <c r="BK49" s="3">
        <v>1</v>
      </c>
      <c r="BL49" s="3">
        <v>1</v>
      </c>
      <c r="BM49" s="40">
        <f t="shared" si="11"/>
        <v>7</v>
      </c>
      <c r="BP49" s="22">
        <f t="shared" si="7"/>
        <v>49</v>
      </c>
      <c r="BQ49" s="22">
        <f t="shared" si="8"/>
        <v>89.090909090909093</v>
      </c>
    </row>
    <row r="50" spans="1:69" ht="18" x14ac:dyDescent="0.35">
      <c r="A50" s="2">
        <v>45</v>
      </c>
      <c r="B50" s="16" t="s">
        <v>124</v>
      </c>
      <c r="C50" s="20" t="s">
        <v>125</v>
      </c>
      <c r="D50" s="3">
        <v>1</v>
      </c>
      <c r="E50" s="3">
        <v>1</v>
      </c>
      <c r="F50" s="3">
        <v>0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9">
        <f t="shared" si="0"/>
        <v>8</v>
      </c>
      <c r="N50" s="3">
        <v>1</v>
      </c>
      <c r="O50" s="3">
        <v>1</v>
      </c>
      <c r="P50" s="3">
        <v>0</v>
      </c>
      <c r="Q50" s="3">
        <v>0</v>
      </c>
      <c r="R50" s="3">
        <v>1</v>
      </c>
      <c r="S50" s="3">
        <v>1</v>
      </c>
      <c r="T50" s="3">
        <v>1</v>
      </c>
      <c r="U50" s="3">
        <v>1</v>
      </c>
      <c r="V50" s="39">
        <f t="shared" si="1"/>
        <v>6</v>
      </c>
      <c r="W50" s="3">
        <v>1</v>
      </c>
      <c r="X50" s="3">
        <v>1</v>
      </c>
      <c r="Y50" s="3">
        <v>0</v>
      </c>
      <c r="Z50" s="3">
        <v>1</v>
      </c>
      <c r="AA50" s="3">
        <v>1</v>
      </c>
      <c r="AB50" s="3">
        <v>1</v>
      </c>
      <c r="AC50" s="3">
        <v>1</v>
      </c>
      <c r="AD50" s="39">
        <f t="shared" si="2"/>
        <v>6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1</v>
      </c>
      <c r="AL50" s="3">
        <v>1</v>
      </c>
      <c r="AM50" s="3">
        <v>1</v>
      </c>
      <c r="AN50" s="3">
        <v>1</v>
      </c>
      <c r="AO50" s="40">
        <f t="shared" si="12"/>
        <v>10</v>
      </c>
      <c r="AP50" s="3">
        <v>1</v>
      </c>
      <c r="AQ50" s="3">
        <v>1</v>
      </c>
      <c r="AR50" s="3">
        <v>1</v>
      </c>
      <c r="AS50" s="3">
        <v>1</v>
      </c>
      <c r="AT50" s="3">
        <v>1</v>
      </c>
      <c r="AU50" s="3">
        <v>1</v>
      </c>
      <c r="AV50" s="3">
        <v>1</v>
      </c>
      <c r="AW50" s="43">
        <f t="shared" si="9"/>
        <v>7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v>1</v>
      </c>
      <c r="BE50" s="43">
        <f t="shared" si="10"/>
        <v>7</v>
      </c>
      <c r="BF50" s="3">
        <v>1</v>
      </c>
      <c r="BG50" s="3">
        <v>1</v>
      </c>
      <c r="BH50" s="3">
        <v>1</v>
      </c>
      <c r="BI50" s="3">
        <v>1</v>
      </c>
      <c r="BJ50" s="3">
        <v>1</v>
      </c>
      <c r="BK50" s="3">
        <v>1</v>
      </c>
      <c r="BL50" s="3">
        <v>1</v>
      </c>
      <c r="BM50" s="40">
        <f t="shared" si="11"/>
        <v>7</v>
      </c>
      <c r="BP50" s="22">
        <f t="shared" si="7"/>
        <v>51</v>
      </c>
      <c r="BQ50" s="22">
        <f t="shared" si="8"/>
        <v>92.72727272727272</v>
      </c>
    </row>
    <row r="51" spans="1:69" ht="18" x14ac:dyDescent="0.35">
      <c r="A51" s="2">
        <v>46</v>
      </c>
      <c r="B51" s="16" t="s">
        <v>126</v>
      </c>
      <c r="C51" s="20" t="s">
        <v>127</v>
      </c>
      <c r="D51" s="3">
        <v>1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1</v>
      </c>
      <c r="K51" s="3">
        <v>1</v>
      </c>
      <c r="L51" s="3">
        <v>0</v>
      </c>
      <c r="M51" s="39">
        <f t="shared" si="0"/>
        <v>6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9">
        <f t="shared" si="1"/>
        <v>8</v>
      </c>
      <c r="W51" s="3">
        <v>1</v>
      </c>
      <c r="X51" s="3">
        <v>1</v>
      </c>
      <c r="Y51" s="3">
        <v>0</v>
      </c>
      <c r="Z51" s="3">
        <v>1</v>
      </c>
      <c r="AA51" s="3">
        <v>1</v>
      </c>
      <c r="AB51" s="3">
        <v>1</v>
      </c>
      <c r="AC51" s="3">
        <v>1</v>
      </c>
      <c r="AD51" s="39">
        <f t="shared" si="2"/>
        <v>6</v>
      </c>
      <c r="AE51" s="3">
        <v>1</v>
      </c>
      <c r="AF51" s="3">
        <v>1</v>
      </c>
      <c r="AG51" s="3">
        <v>0</v>
      </c>
      <c r="AH51" s="3">
        <v>0</v>
      </c>
      <c r="AI51" s="3">
        <v>1</v>
      </c>
      <c r="AJ51" s="3">
        <v>1</v>
      </c>
      <c r="AK51" s="3">
        <v>1</v>
      </c>
      <c r="AL51" s="3">
        <v>1</v>
      </c>
      <c r="AM51" s="3">
        <v>1</v>
      </c>
      <c r="AN51" s="3">
        <v>1</v>
      </c>
      <c r="AO51" s="40">
        <f t="shared" si="12"/>
        <v>8</v>
      </c>
      <c r="AP51" s="3">
        <v>1</v>
      </c>
      <c r="AQ51" s="3">
        <v>1</v>
      </c>
      <c r="AR51" s="3">
        <v>1</v>
      </c>
      <c r="AS51" s="3">
        <v>1</v>
      </c>
      <c r="AT51" s="3">
        <v>1</v>
      </c>
      <c r="AU51" s="3">
        <v>1</v>
      </c>
      <c r="AV51" s="3">
        <v>1</v>
      </c>
      <c r="AW51" s="43">
        <f t="shared" si="9"/>
        <v>7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3">
        <v>1</v>
      </c>
      <c r="BD51" s="3">
        <v>1</v>
      </c>
      <c r="BE51" s="43">
        <f t="shared" si="10"/>
        <v>7</v>
      </c>
      <c r="BF51" s="3">
        <v>1</v>
      </c>
      <c r="BG51" s="3">
        <v>1</v>
      </c>
      <c r="BH51" s="3">
        <v>1</v>
      </c>
      <c r="BI51" s="3">
        <v>1</v>
      </c>
      <c r="BJ51" s="3">
        <v>1</v>
      </c>
      <c r="BK51" s="3">
        <v>1</v>
      </c>
      <c r="BL51" s="3">
        <v>1</v>
      </c>
      <c r="BM51" s="40">
        <f t="shared" si="11"/>
        <v>7</v>
      </c>
      <c r="BP51" s="22">
        <f t="shared" si="7"/>
        <v>49</v>
      </c>
      <c r="BQ51" s="22">
        <f t="shared" si="8"/>
        <v>89.090909090909093</v>
      </c>
    </row>
    <row r="52" spans="1:69" ht="18" x14ac:dyDescent="0.35">
      <c r="A52" s="2">
        <v>47</v>
      </c>
      <c r="B52" s="16" t="s">
        <v>128</v>
      </c>
      <c r="C52" s="20" t="s">
        <v>129</v>
      </c>
      <c r="D52" s="3">
        <v>1</v>
      </c>
      <c r="E52" s="3">
        <v>1</v>
      </c>
      <c r="F52" s="3">
        <v>0</v>
      </c>
      <c r="G52" s="3">
        <v>0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9">
        <f t="shared" si="0"/>
        <v>7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9">
        <f t="shared" si="1"/>
        <v>8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9">
        <f t="shared" si="2"/>
        <v>7</v>
      </c>
      <c r="AE52" s="3">
        <v>1</v>
      </c>
      <c r="AF52" s="3">
        <v>1</v>
      </c>
      <c r="AG52" s="3">
        <v>1</v>
      </c>
      <c r="AH52" s="3">
        <v>0</v>
      </c>
      <c r="AI52" s="3">
        <v>1</v>
      </c>
      <c r="AJ52" s="3">
        <v>1</v>
      </c>
      <c r="AK52" s="3">
        <v>1</v>
      </c>
      <c r="AL52" s="3">
        <v>1</v>
      </c>
      <c r="AM52" s="3">
        <v>1</v>
      </c>
      <c r="AN52" s="3">
        <v>1</v>
      </c>
      <c r="AO52" s="40">
        <f t="shared" si="12"/>
        <v>9</v>
      </c>
      <c r="AP52" s="3">
        <v>1</v>
      </c>
      <c r="AQ52" s="3">
        <v>0</v>
      </c>
      <c r="AR52" s="3">
        <v>1</v>
      </c>
      <c r="AS52" s="3">
        <v>0</v>
      </c>
      <c r="AT52" s="3">
        <v>1</v>
      </c>
      <c r="AU52" s="3">
        <v>0</v>
      </c>
      <c r="AV52" s="3">
        <v>1</v>
      </c>
      <c r="AW52" s="43">
        <f t="shared" si="9"/>
        <v>4</v>
      </c>
      <c r="AX52" s="3">
        <v>0</v>
      </c>
      <c r="AY52" s="3">
        <v>0</v>
      </c>
      <c r="AZ52" s="3">
        <v>1</v>
      </c>
      <c r="BA52" s="3">
        <v>0</v>
      </c>
      <c r="BB52" s="3">
        <v>1</v>
      </c>
      <c r="BC52" s="3">
        <v>1</v>
      </c>
      <c r="BD52" s="3">
        <v>1</v>
      </c>
      <c r="BE52" s="43">
        <f t="shared" si="10"/>
        <v>4</v>
      </c>
      <c r="BF52" s="3">
        <v>0</v>
      </c>
      <c r="BG52" s="3">
        <v>1</v>
      </c>
      <c r="BH52" s="3">
        <v>0</v>
      </c>
      <c r="BI52" s="3">
        <v>0</v>
      </c>
      <c r="BJ52" s="3">
        <v>1</v>
      </c>
      <c r="BK52" s="3">
        <v>1</v>
      </c>
      <c r="BL52" s="3">
        <v>1</v>
      </c>
      <c r="BM52" s="40">
        <f t="shared" si="11"/>
        <v>4</v>
      </c>
      <c r="BP52" s="22">
        <f t="shared" si="7"/>
        <v>43</v>
      </c>
      <c r="BQ52" s="22">
        <f t="shared" si="8"/>
        <v>78.181818181818187</v>
      </c>
    </row>
    <row r="53" spans="1:69" ht="18" x14ac:dyDescent="0.35">
      <c r="A53" s="2">
        <v>48</v>
      </c>
      <c r="B53" s="16" t="s">
        <v>130</v>
      </c>
      <c r="C53" s="20" t="s">
        <v>131</v>
      </c>
      <c r="D53" s="3">
        <v>1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1</v>
      </c>
      <c r="K53" s="3">
        <v>1</v>
      </c>
      <c r="L53" s="3">
        <v>0</v>
      </c>
      <c r="M53" s="39">
        <f t="shared" si="0"/>
        <v>6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9">
        <f t="shared" si="1"/>
        <v>8</v>
      </c>
      <c r="W53" s="3">
        <v>1</v>
      </c>
      <c r="X53" s="3">
        <v>1</v>
      </c>
      <c r="Y53" s="3">
        <v>0</v>
      </c>
      <c r="Z53" s="3">
        <v>1</v>
      </c>
      <c r="AA53" s="3">
        <v>1</v>
      </c>
      <c r="AB53" s="3">
        <v>1</v>
      </c>
      <c r="AC53" s="3">
        <v>1</v>
      </c>
      <c r="AD53" s="39">
        <f t="shared" si="2"/>
        <v>6</v>
      </c>
      <c r="AE53" s="3">
        <v>1</v>
      </c>
      <c r="AF53" s="3">
        <v>1</v>
      </c>
      <c r="AG53" s="3">
        <v>0</v>
      </c>
      <c r="AH53" s="3">
        <v>0</v>
      </c>
      <c r="AI53" s="3">
        <v>1</v>
      </c>
      <c r="AJ53" s="3">
        <v>1</v>
      </c>
      <c r="AK53" s="3">
        <v>1</v>
      </c>
      <c r="AL53" s="3">
        <v>1</v>
      </c>
      <c r="AM53" s="3">
        <v>1</v>
      </c>
      <c r="AN53" s="3">
        <v>1</v>
      </c>
      <c r="AO53" s="40">
        <f t="shared" si="12"/>
        <v>8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3">
        <v>1</v>
      </c>
      <c r="AV53" s="3">
        <v>1</v>
      </c>
      <c r="AW53" s="43">
        <f t="shared" si="9"/>
        <v>7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 s="3">
        <v>1</v>
      </c>
      <c r="BD53" s="3">
        <v>1</v>
      </c>
      <c r="BE53" s="43">
        <f t="shared" si="10"/>
        <v>7</v>
      </c>
      <c r="BF53" s="3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3">
        <v>1</v>
      </c>
      <c r="BM53" s="40">
        <f t="shared" si="11"/>
        <v>7</v>
      </c>
      <c r="BP53" s="22">
        <f t="shared" si="7"/>
        <v>49</v>
      </c>
      <c r="BQ53" s="22">
        <f t="shared" si="8"/>
        <v>89.090909090909093</v>
      </c>
    </row>
    <row r="54" spans="1:69" ht="18" x14ac:dyDescent="0.35">
      <c r="A54" s="2">
        <v>49</v>
      </c>
      <c r="B54" s="16" t="s">
        <v>132</v>
      </c>
      <c r="C54" s="20" t="s">
        <v>133</v>
      </c>
      <c r="D54" s="3">
        <v>0</v>
      </c>
      <c r="E54" s="3">
        <v>0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9">
        <f t="shared" si="0"/>
        <v>7</v>
      </c>
      <c r="N54" s="3">
        <v>1</v>
      </c>
      <c r="O54" s="3">
        <v>1</v>
      </c>
      <c r="P54" s="3">
        <v>0</v>
      </c>
      <c r="Q54" s="3">
        <v>0</v>
      </c>
      <c r="R54" s="3">
        <v>1</v>
      </c>
      <c r="S54" s="3">
        <v>1</v>
      </c>
      <c r="T54" s="3">
        <v>1</v>
      </c>
      <c r="U54" s="3">
        <v>1</v>
      </c>
      <c r="V54" s="39">
        <f t="shared" si="1"/>
        <v>6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9">
        <f t="shared" si="2"/>
        <v>7</v>
      </c>
      <c r="AE54" s="3">
        <v>1</v>
      </c>
      <c r="AF54" s="3">
        <v>1</v>
      </c>
      <c r="AG54" s="3">
        <v>0</v>
      </c>
      <c r="AH54" s="3">
        <v>1</v>
      </c>
      <c r="AI54" s="3">
        <v>1</v>
      </c>
      <c r="AJ54" s="3">
        <v>1</v>
      </c>
      <c r="AK54" s="3">
        <v>1</v>
      </c>
      <c r="AL54" s="3">
        <v>1</v>
      </c>
      <c r="AM54" s="3">
        <v>1</v>
      </c>
      <c r="AN54" s="3">
        <v>1</v>
      </c>
      <c r="AO54" s="40">
        <f t="shared" si="12"/>
        <v>9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1</v>
      </c>
      <c r="AW54" s="43">
        <f t="shared" si="9"/>
        <v>7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43">
        <f t="shared" si="10"/>
        <v>7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40">
        <f t="shared" si="11"/>
        <v>7</v>
      </c>
      <c r="BP54" s="22">
        <f t="shared" si="7"/>
        <v>50</v>
      </c>
      <c r="BQ54" s="22">
        <f t="shared" si="8"/>
        <v>90.909090909090907</v>
      </c>
    </row>
    <row r="55" spans="1:69" ht="18" x14ac:dyDescent="0.35">
      <c r="A55" s="2">
        <v>50</v>
      </c>
      <c r="B55" s="16" t="s">
        <v>134</v>
      </c>
      <c r="C55" s="20" t="s">
        <v>135</v>
      </c>
      <c r="D55" s="3">
        <v>1</v>
      </c>
      <c r="E55" s="3">
        <v>1</v>
      </c>
      <c r="F55" s="3">
        <v>0</v>
      </c>
      <c r="G55" s="3">
        <v>0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9">
        <f t="shared" si="0"/>
        <v>7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9">
        <f t="shared" si="1"/>
        <v>8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  <c r="AB55" s="3">
        <v>1</v>
      </c>
      <c r="AC55" s="3">
        <v>1</v>
      </c>
      <c r="AD55" s="39">
        <f t="shared" si="2"/>
        <v>7</v>
      </c>
      <c r="AE55" s="3">
        <v>1</v>
      </c>
      <c r="AF55" s="3">
        <v>1</v>
      </c>
      <c r="AG55" s="3">
        <v>1</v>
      </c>
      <c r="AH55" s="3">
        <v>0</v>
      </c>
      <c r="AI55" s="3">
        <v>1</v>
      </c>
      <c r="AJ55" s="3">
        <v>1</v>
      </c>
      <c r="AK55" s="3">
        <v>1</v>
      </c>
      <c r="AL55" s="3">
        <v>1</v>
      </c>
      <c r="AM55" s="3">
        <v>1</v>
      </c>
      <c r="AN55" s="3">
        <v>1</v>
      </c>
      <c r="AO55" s="40">
        <f t="shared" si="12"/>
        <v>9</v>
      </c>
      <c r="AP55" s="3">
        <v>0</v>
      </c>
      <c r="AQ55" s="3">
        <v>1</v>
      </c>
      <c r="AR55" s="3">
        <v>0</v>
      </c>
      <c r="AS55" s="3">
        <v>1</v>
      </c>
      <c r="AT55" s="3">
        <v>0</v>
      </c>
      <c r="AU55" s="3">
        <v>1</v>
      </c>
      <c r="AV55" s="3">
        <v>1</v>
      </c>
      <c r="AW55" s="43">
        <f t="shared" si="9"/>
        <v>4</v>
      </c>
      <c r="AX55" s="3">
        <v>1</v>
      </c>
      <c r="AY55" s="3">
        <v>1</v>
      </c>
      <c r="AZ55" s="3">
        <v>0</v>
      </c>
      <c r="BA55" s="3">
        <v>0</v>
      </c>
      <c r="BB55" s="3">
        <v>1</v>
      </c>
      <c r="BC55" s="3">
        <v>0</v>
      </c>
      <c r="BD55" s="3">
        <v>1</v>
      </c>
      <c r="BE55" s="43">
        <f t="shared" si="10"/>
        <v>4</v>
      </c>
      <c r="BF55" s="3">
        <v>1</v>
      </c>
      <c r="BG55" s="3">
        <v>1</v>
      </c>
      <c r="BH55" s="3">
        <v>0</v>
      </c>
      <c r="BI55" s="3">
        <v>1</v>
      </c>
      <c r="BJ55" s="3">
        <v>0</v>
      </c>
      <c r="BK55" s="3">
        <v>0</v>
      </c>
      <c r="BL55" s="3">
        <v>1</v>
      </c>
      <c r="BM55" s="40">
        <f t="shared" si="11"/>
        <v>4</v>
      </c>
      <c r="BP55" s="22">
        <f t="shared" si="7"/>
        <v>43</v>
      </c>
      <c r="BQ55" s="22">
        <f t="shared" si="8"/>
        <v>78.181818181818187</v>
      </c>
    </row>
    <row r="56" spans="1:69" ht="18" x14ac:dyDescent="0.35">
      <c r="A56" s="2">
        <v>51</v>
      </c>
      <c r="B56" s="16" t="s">
        <v>136</v>
      </c>
      <c r="C56" s="20" t="s">
        <v>137</v>
      </c>
      <c r="D56" s="3">
        <v>1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1</v>
      </c>
      <c r="K56" s="3">
        <v>1</v>
      </c>
      <c r="L56" s="3">
        <v>0</v>
      </c>
      <c r="M56" s="39">
        <f t="shared" si="0"/>
        <v>6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9">
        <f t="shared" si="1"/>
        <v>8</v>
      </c>
      <c r="W56" s="3">
        <v>1</v>
      </c>
      <c r="X56" s="3">
        <v>1</v>
      </c>
      <c r="Y56" s="3">
        <v>0</v>
      </c>
      <c r="Z56" s="3">
        <v>1</v>
      </c>
      <c r="AA56" s="3">
        <v>1</v>
      </c>
      <c r="AB56" s="3">
        <v>1</v>
      </c>
      <c r="AC56" s="3">
        <v>1</v>
      </c>
      <c r="AD56" s="39">
        <f t="shared" si="2"/>
        <v>6</v>
      </c>
      <c r="AE56" s="3">
        <v>1</v>
      </c>
      <c r="AF56" s="3">
        <v>1</v>
      </c>
      <c r="AG56" s="3">
        <v>0</v>
      </c>
      <c r="AH56" s="3">
        <v>0</v>
      </c>
      <c r="AI56" s="3">
        <v>1</v>
      </c>
      <c r="AJ56" s="3">
        <v>1</v>
      </c>
      <c r="AK56" s="3">
        <v>1</v>
      </c>
      <c r="AL56" s="3">
        <v>1</v>
      </c>
      <c r="AM56" s="3">
        <v>1</v>
      </c>
      <c r="AN56" s="3">
        <v>1</v>
      </c>
      <c r="AO56" s="40">
        <f t="shared" si="12"/>
        <v>8</v>
      </c>
      <c r="AP56" s="3">
        <v>1</v>
      </c>
      <c r="AQ56" s="3">
        <v>1</v>
      </c>
      <c r="AR56" s="3">
        <v>1</v>
      </c>
      <c r="AS56" s="3">
        <v>1</v>
      </c>
      <c r="AT56" s="3">
        <v>1</v>
      </c>
      <c r="AU56" s="3">
        <v>1</v>
      </c>
      <c r="AV56" s="3">
        <v>1</v>
      </c>
      <c r="AW56" s="43">
        <f t="shared" si="9"/>
        <v>7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3">
        <v>1</v>
      </c>
      <c r="BD56" s="3">
        <v>1</v>
      </c>
      <c r="BE56" s="43">
        <f t="shared" si="10"/>
        <v>7</v>
      </c>
      <c r="BF56" s="3">
        <v>1</v>
      </c>
      <c r="BG56" s="3">
        <v>1</v>
      </c>
      <c r="BH56" s="3">
        <v>1</v>
      </c>
      <c r="BI56" s="3">
        <v>1</v>
      </c>
      <c r="BJ56" s="3">
        <v>1</v>
      </c>
      <c r="BK56" s="3">
        <v>1</v>
      </c>
      <c r="BL56" s="3">
        <v>1</v>
      </c>
      <c r="BM56" s="40">
        <f t="shared" si="11"/>
        <v>7</v>
      </c>
      <c r="BP56" s="22">
        <f t="shared" si="7"/>
        <v>49</v>
      </c>
      <c r="BQ56" s="22">
        <f t="shared" si="8"/>
        <v>89.090909090909093</v>
      </c>
    </row>
    <row r="57" spans="1:69" ht="18" x14ac:dyDescent="0.35">
      <c r="A57" s="2">
        <v>52</v>
      </c>
      <c r="B57" s="16" t="s">
        <v>138</v>
      </c>
      <c r="C57" s="20" t="s">
        <v>139</v>
      </c>
      <c r="D57" s="3">
        <v>1</v>
      </c>
      <c r="E57" s="3">
        <v>1</v>
      </c>
      <c r="F57" s="3">
        <v>0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9">
        <f t="shared" si="0"/>
        <v>8</v>
      </c>
      <c r="N57" s="3">
        <v>1</v>
      </c>
      <c r="O57" s="3">
        <v>1</v>
      </c>
      <c r="P57" s="3">
        <v>0</v>
      </c>
      <c r="Q57" s="3">
        <v>0</v>
      </c>
      <c r="R57" s="3">
        <v>1</v>
      </c>
      <c r="S57" s="3">
        <v>1</v>
      </c>
      <c r="T57" s="3">
        <v>1</v>
      </c>
      <c r="U57" s="3">
        <v>1</v>
      </c>
      <c r="V57" s="39">
        <f t="shared" si="1"/>
        <v>6</v>
      </c>
      <c r="W57" s="3">
        <v>1</v>
      </c>
      <c r="X57" s="3">
        <v>1</v>
      </c>
      <c r="Y57" s="3">
        <v>0</v>
      </c>
      <c r="Z57" s="3">
        <v>1</v>
      </c>
      <c r="AA57" s="3">
        <v>1</v>
      </c>
      <c r="AB57" s="3">
        <v>1</v>
      </c>
      <c r="AC57" s="3">
        <v>1</v>
      </c>
      <c r="AD57" s="39">
        <f t="shared" si="2"/>
        <v>6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3">
        <v>1</v>
      </c>
      <c r="AM57" s="3">
        <v>1</v>
      </c>
      <c r="AN57" s="3">
        <v>1</v>
      </c>
      <c r="AO57" s="40">
        <f t="shared" si="12"/>
        <v>10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  <c r="AU57" s="3">
        <v>1</v>
      </c>
      <c r="AV57" s="3">
        <v>1</v>
      </c>
      <c r="AW57" s="43">
        <f t="shared" si="9"/>
        <v>7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  <c r="BD57" s="3">
        <v>1</v>
      </c>
      <c r="BE57" s="43">
        <f t="shared" si="10"/>
        <v>7</v>
      </c>
      <c r="BF57" s="3">
        <v>1</v>
      </c>
      <c r="BG57" s="3">
        <v>1</v>
      </c>
      <c r="BH57" s="3">
        <v>1</v>
      </c>
      <c r="BI57" s="3">
        <v>1</v>
      </c>
      <c r="BJ57" s="3">
        <v>1</v>
      </c>
      <c r="BK57" s="3">
        <v>1</v>
      </c>
      <c r="BL57" s="3">
        <v>1</v>
      </c>
      <c r="BM57" s="40">
        <f t="shared" si="11"/>
        <v>7</v>
      </c>
      <c r="BP57" s="22">
        <f t="shared" si="7"/>
        <v>51</v>
      </c>
      <c r="BQ57" s="22">
        <f t="shared" si="8"/>
        <v>92.72727272727272</v>
      </c>
    </row>
    <row r="58" spans="1:69" ht="18" x14ac:dyDescent="0.35">
      <c r="A58" s="2">
        <v>53</v>
      </c>
      <c r="B58" s="16" t="s">
        <v>140</v>
      </c>
      <c r="C58" s="20" t="s">
        <v>141</v>
      </c>
      <c r="D58" s="3">
        <v>0</v>
      </c>
      <c r="E58" s="3">
        <v>0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9">
        <f t="shared" si="0"/>
        <v>7</v>
      </c>
      <c r="N58" s="3">
        <v>1</v>
      </c>
      <c r="O58" s="3">
        <v>1</v>
      </c>
      <c r="P58" s="3">
        <v>0</v>
      </c>
      <c r="Q58" s="3">
        <v>0</v>
      </c>
      <c r="R58" s="3">
        <v>1</v>
      </c>
      <c r="S58" s="3">
        <v>1</v>
      </c>
      <c r="T58" s="3">
        <v>1</v>
      </c>
      <c r="U58" s="3">
        <v>1</v>
      </c>
      <c r="V58" s="39">
        <f t="shared" si="1"/>
        <v>6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9">
        <f t="shared" si="2"/>
        <v>7</v>
      </c>
      <c r="AE58" s="3">
        <v>1</v>
      </c>
      <c r="AF58" s="3">
        <v>1</v>
      </c>
      <c r="AG58" s="3">
        <v>0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40">
        <f t="shared" si="12"/>
        <v>9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43">
        <f t="shared" si="9"/>
        <v>7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43">
        <f t="shared" si="10"/>
        <v>7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40">
        <f t="shared" si="11"/>
        <v>7</v>
      </c>
      <c r="BP58" s="22">
        <f t="shared" si="7"/>
        <v>50</v>
      </c>
      <c r="BQ58" s="22">
        <f t="shared" si="8"/>
        <v>90.909090909090907</v>
      </c>
    </row>
    <row r="59" spans="1:69" ht="18" x14ac:dyDescent="0.35">
      <c r="A59" s="2">
        <v>54</v>
      </c>
      <c r="B59" s="16" t="s">
        <v>142</v>
      </c>
      <c r="C59" s="20" t="s">
        <v>143</v>
      </c>
      <c r="D59" s="3">
        <v>1</v>
      </c>
      <c r="E59" s="3">
        <v>1</v>
      </c>
      <c r="F59" s="3">
        <v>0</v>
      </c>
      <c r="G59" s="3">
        <v>0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9">
        <f t="shared" si="0"/>
        <v>7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9">
        <f t="shared" si="1"/>
        <v>8</v>
      </c>
      <c r="W59" s="3">
        <v>1</v>
      </c>
      <c r="X59" s="3">
        <v>1</v>
      </c>
      <c r="Y59" s="3">
        <v>1</v>
      </c>
      <c r="Z59" s="3">
        <v>1</v>
      </c>
      <c r="AA59" s="3">
        <v>1</v>
      </c>
      <c r="AB59" s="3">
        <v>1</v>
      </c>
      <c r="AC59" s="3">
        <v>1</v>
      </c>
      <c r="AD59" s="39">
        <f t="shared" si="2"/>
        <v>7</v>
      </c>
      <c r="AE59" s="3">
        <v>1</v>
      </c>
      <c r="AF59" s="3">
        <v>1</v>
      </c>
      <c r="AG59" s="3">
        <v>1</v>
      </c>
      <c r="AH59" s="3">
        <v>0</v>
      </c>
      <c r="AI59" s="3">
        <v>1</v>
      </c>
      <c r="AJ59" s="3">
        <v>1</v>
      </c>
      <c r="AK59" s="3">
        <v>1</v>
      </c>
      <c r="AL59" s="3">
        <v>1</v>
      </c>
      <c r="AM59" s="3">
        <v>1</v>
      </c>
      <c r="AN59" s="3">
        <v>1</v>
      </c>
      <c r="AO59" s="40">
        <f t="shared" si="12"/>
        <v>9</v>
      </c>
      <c r="AP59" s="3">
        <v>1</v>
      </c>
      <c r="AQ59" s="3">
        <v>1</v>
      </c>
      <c r="AR59" s="3">
        <v>0</v>
      </c>
      <c r="AS59" s="3">
        <v>1</v>
      </c>
      <c r="AT59" s="3">
        <v>0</v>
      </c>
      <c r="AU59" s="3">
        <v>1</v>
      </c>
      <c r="AV59" s="3">
        <v>0</v>
      </c>
      <c r="AW59" s="43">
        <f t="shared" si="9"/>
        <v>4</v>
      </c>
      <c r="AX59" s="3">
        <v>1</v>
      </c>
      <c r="AY59" s="3">
        <v>1</v>
      </c>
      <c r="AZ59" s="3">
        <v>0</v>
      </c>
      <c r="BA59" s="3">
        <v>0</v>
      </c>
      <c r="BB59" s="3">
        <v>1</v>
      </c>
      <c r="BC59" s="3">
        <v>0</v>
      </c>
      <c r="BD59" s="3">
        <v>1</v>
      </c>
      <c r="BE59" s="43">
        <f t="shared" si="10"/>
        <v>4</v>
      </c>
      <c r="BF59" s="3">
        <v>0</v>
      </c>
      <c r="BG59" s="3">
        <v>1</v>
      </c>
      <c r="BH59" s="3">
        <v>0</v>
      </c>
      <c r="BI59" s="3">
        <v>0</v>
      </c>
      <c r="BJ59" s="3">
        <v>1</v>
      </c>
      <c r="BK59" s="3">
        <v>1</v>
      </c>
      <c r="BL59" s="3">
        <v>1</v>
      </c>
      <c r="BM59" s="40">
        <f t="shared" si="11"/>
        <v>4</v>
      </c>
      <c r="BP59" s="22">
        <f t="shared" si="7"/>
        <v>43</v>
      </c>
      <c r="BQ59" s="22">
        <f t="shared" si="8"/>
        <v>78.181818181818187</v>
      </c>
    </row>
    <row r="60" spans="1:69" ht="18" x14ac:dyDescent="0.35">
      <c r="A60" s="2">
        <v>55</v>
      </c>
      <c r="B60" s="16" t="s">
        <v>144</v>
      </c>
      <c r="C60" s="20" t="s">
        <v>145</v>
      </c>
      <c r="D60" s="3">
        <v>1</v>
      </c>
      <c r="E60" s="3">
        <v>1</v>
      </c>
      <c r="F60" s="3">
        <v>0</v>
      </c>
      <c r="G60" s="3">
        <v>0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9">
        <f t="shared" si="0"/>
        <v>7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9">
        <f t="shared" si="1"/>
        <v>8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9">
        <f t="shared" si="2"/>
        <v>7</v>
      </c>
      <c r="AE60" s="3">
        <v>1</v>
      </c>
      <c r="AF60" s="3">
        <v>1</v>
      </c>
      <c r="AG60" s="3">
        <v>1</v>
      </c>
      <c r="AH60" s="3">
        <v>0</v>
      </c>
      <c r="AI60" s="3">
        <v>1</v>
      </c>
      <c r="AJ60" s="3">
        <v>1</v>
      </c>
      <c r="AK60" s="3">
        <v>1</v>
      </c>
      <c r="AL60" s="3">
        <v>1</v>
      </c>
      <c r="AM60" s="3">
        <v>1</v>
      </c>
      <c r="AN60" s="3">
        <v>1</v>
      </c>
      <c r="AO60" s="40">
        <f t="shared" si="12"/>
        <v>9</v>
      </c>
      <c r="AP60" s="3">
        <v>1</v>
      </c>
      <c r="AQ60" s="3">
        <v>0</v>
      </c>
      <c r="AR60" s="3">
        <v>1</v>
      </c>
      <c r="AS60" s="3">
        <v>0</v>
      </c>
      <c r="AT60" s="3">
        <v>1</v>
      </c>
      <c r="AU60" s="3">
        <v>0</v>
      </c>
      <c r="AV60" s="3">
        <v>1</v>
      </c>
      <c r="AW60" s="43">
        <f t="shared" si="9"/>
        <v>4</v>
      </c>
      <c r="AX60" s="3">
        <v>1</v>
      </c>
      <c r="AY60" s="3">
        <v>0</v>
      </c>
      <c r="AZ60" s="3">
        <v>0</v>
      </c>
      <c r="BA60" s="3">
        <v>1</v>
      </c>
      <c r="BB60" s="3">
        <v>0</v>
      </c>
      <c r="BC60" s="3">
        <v>1</v>
      </c>
      <c r="BD60" s="3">
        <v>1</v>
      </c>
      <c r="BE60" s="43">
        <f t="shared" si="10"/>
        <v>4</v>
      </c>
      <c r="BF60" s="3">
        <v>1</v>
      </c>
      <c r="BG60" s="3">
        <v>1</v>
      </c>
      <c r="BH60" s="3">
        <v>1</v>
      </c>
      <c r="BI60" s="3">
        <v>0</v>
      </c>
      <c r="BJ60" s="3">
        <v>1</v>
      </c>
      <c r="BK60" s="3">
        <v>0</v>
      </c>
      <c r="BL60" s="3">
        <v>0</v>
      </c>
      <c r="BM60" s="40">
        <f t="shared" si="11"/>
        <v>4</v>
      </c>
      <c r="BP60" s="22">
        <f t="shared" si="7"/>
        <v>43</v>
      </c>
      <c r="BQ60" s="22">
        <f t="shared" si="8"/>
        <v>78.181818181818187</v>
      </c>
    </row>
    <row r="61" spans="1:69" ht="18" x14ac:dyDescent="0.35">
      <c r="A61" s="2">
        <v>56</v>
      </c>
      <c r="B61" s="16" t="s">
        <v>146</v>
      </c>
      <c r="C61" s="20" t="s">
        <v>147</v>
      </c>
      <c r="D61" s="3">
        <v>0</v>
      </c>
      <c r="E61" s="3">
        <v>0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9">
        <f t="shared" si="0"/>
        <v>7</v>
      </c>
      <c r="N61" s="3">
        <v>1</v>
      </c>
      <c r="O61" s="3">
        <v>1</v>
      </c>
      <c r="P61" s="3">
        <v>0</v>
      </c>
      <c r="Q61" s="3">
        <v>0</v>
      </c>
      <c r="R61" s="3">
        <v>1</v>
      </c>
      <c r="S61" s="3">
        <v>1</v>
      </c>
      <c r="T61" s="3">
        <v>1</v>
      </c>
      <c r="U61" s="3">
        <v>1</v>
      </c>
      <c r="V61" s="39">
        <f t="shared" si="1"/>
        <v>6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">
        <v>1</v>
      </c>
      <c r="AD61" s="39">
        <f t="shared" si="2"/>
        <v>7</v>
      </c>
      <c r="AE61" s="3">
        <v>1</v>
      </c>
      <c r="AF61" s="3">
        <v>1</v>
      </c>
      <c r="AG61" s="3">
        <v>0</v>
      </c>
      <c r="AH61" s="3">
        <v>1</v>
      </c>
      <c r="AI61" s="3">
        <v>1</v>
      </c>
      <c r="AJ61" s="3">
        <v>1</v>
      </c>
      <c r="AK61" s="3">
        <v>1</v>
      </c>
      <c r="AL61" s="3">
        <v>1</v>
      </c>
      <c r="AM61" s="3">
        <v>1</v>
      </c>
      <c r="AN61" s="3">
        <v>1</v>
      </c>
      <c r="AO61" s="40">
        <f t="shared" si="12"/>
        <v>9</v>
      </c>
      <c r="AP61" s="3">
        <v>1</v>
      </c>
      <c r="AQ61" s="3">
        <v>1</v>
      </c>
      <c r="AR61" s="3">
        <v>1</v>
      </c>
      <c r="AS61" s="3">
        <v>1</v>
      </c>
      <c r="AT61" s="3">
        <v>1</v>
      </c>
      <c r="AU61" s="3">
        <v>1</v>
      </c>
      <c r="AV61" s="3">
        <v>1</v>
      </c>
      <c r="AW61" s="43">
        <f t="shared" si="9"/>
        <v>7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 s="3">
        <v>1</v>
      </c>
      <c r="BD61" s="3">
        <v>1</v>
      </c>
      <c r="BE61" s="43">
        <f t="shared" si="10"/>
        <v>7</v>
      </c>
      <c r="BF61" s="3">
        <v>1</v>
      </c>
      <c r="BG61" s="3">
        <v>1</v>
      </c>
      <c r="BH61" s="3">
        <v>1</v>
      </c>
      <c r="BI61" s="3">
        <v>1</v>
      </c>
      <c r="BJ61" s="3">
        <v>1</v>
      </c>
      <c r="BK61" s="3">
        <v>1</v>
      </c>
      <c r="BL61" s="3">
        <v>1</v>
      </c>
      <c r="BM61" s="40">
        <f t="shared" si="11"/>
        <v>7</v>
      </c>
      <c r="BP61" s="22">
        <f t="shared" si="7"/>
        <v>50</v>
      </c>
      <c r="BQ61" s="22">
        <f t="shared" si="8"/>
        <v>90.909090909090907</v>
      </c>
    </row>
    <row r="62" spans="1:69" ht="18" x14ac:dyDescent="0.35">
      <c r="A62" s="2">
        <v>57</v>
      </c>
      <c r="B62" s="16" t="s">
        <v>148</v>
      </c>
      <c r="C62" s="20" t="s">
        <v>149</v>
      </c>
      <c r="D62" s="3">
        <v>1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1</v>
      </c>
      <c r="K62" s="3">
        <v>1</v>
      </c>
      <c r="L62" s="3">
        <v>0</v>
      </c>
      <c r="M62" s="39">
        <f t="shared" si="0"/>
        <v>6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9">
        <f t="shared" si="1"/>
        <v>8</v>
      </c>
      <c r="W62" s="3">
        <v>1</v>
      </c>
      <c r="X62" s="3">
        <v>1</v>
      </c>
      <c r="Y62" s="3">
        <v>0</v>
      </c>
      <c r="Z62" s="3">
        <v>1</v>
      </c>
      <c r="AA62" s="3">
        <v>1</v>
      </c>
      <c r="AB62" s="3">
        <v>1</v>
      </c>
      <c r="AC62" s="3">
        <v>1</v>
      </c>
      <c r="AD62" s="39">
        <f t="shared" si="2"/>
        <v>6</v>
      </c>
      <c r="AE62" s="3">
        <v>1</v>
      </c>
      <c r="AF62" s="3">
        <v>1</v>
      </c>
      <c r="AG62" s="3">
        <v>0</v>
      </c>
      <c r="AH62" s="3">
        <v>0</v>
      </c>
      <c r="AI62" s="3">
        <v>1</v>
      </c>
      <c r="AJ62" s="3">
        <v>1</v>
      </c>
      <c r="AK62" s="3">
        <v>1</v>
      </c>
      <c r="AL62" s="3">
        <v>1</v>
      </c>
      <c r="AM62" s="3">
        <v>1</v>
      </c>
      <c r="AN62" s="3">
        <v>1</v>
      </c>
      <c r="AO62" s="40">
        <f t="shared" si="12"/>
        <v>8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  <c r="AU62" s="3">
        <v>1</v>
      </c>
      <c r="AV62" s="3">
        <v>1</v>
      </c>
      <c r="AW62" s="43">
        <f t="shared" si="9"/>
        <v>7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3">
        <v>1</v>
      </c>
      <c r="BD62" s="3">
        <v>1</v>
      </c>
      <c r="BE62" s="43">
        <f t="shared" si="10"/>
        <v>7</v>
      </c>
      <c r="BF62" s="3">
        <v>1</v>
      </c>
      <c r="BG62" s="3">
        <v>1</v>
      </c>
      <c r="BH62" s="3">
        <v>1</v>
      </c>
      <c r="BI62" s="3">
        <v>1</v>
      </c>
      <c r="BJ62" s="3">
        <v>1</v>
      </c>
      <c r="BK62" s="3">
        <v>1</v>
      </c>
      <c r="BL62" s="3">
        <v>1</v>
      </c>
      <c r="BM62" s="40">
        <f t="shared" si="11"/>
        <v>7</v>
      </c>
      <c r="BP62" s="22">
        <f t="shared" si="7"/>
        <v>49</v>
      </c>
      <c r="BQ62" s="22">
        <f t="shared" si="8"/>
        <v>89.090909090909093</v>
      </c>
    </row>
    <row r="63" spans="1:69" ht="18" x14ac:dyDescent="0.35">
      <c r="A63" s="2">
        <v>58</v>
      </c>
      <c r="B63" s="16" t="s">
        <v>150</v>
      </c>
      <c r="C63" s="20" t="s">
        <v>151</v>
      </c>
      <c r="D63" s="3">
        <v>1</v>
      </c>
      <c r="E63" s="3">
        <v>1</v>
      </c>
      <c r="F63" s="3">
        <v>0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9">
        <f t="shared" si="0"/>
        <v>8</v>
      </c>
      <c r="N63" s="3">
        <v>1</v>
      </c>
      <c r="O63" s="3">
        <v>1</v>
      </c>
      <c r="P63" s="3">
        <v>0</v>
      </c>
      <c r="Q63" s="3">
        <v>0</v>
      </c>
      <c r="R63" s="3">
        <v>1</v>
      </c>
      <c r="S63" s="3">
        <v>1</v>
      </c>
      <c r="T63" s="3">
        <v>1</v>
      </c>
      <c r="U63" s="3">
        <v>1</v>
      </c>
      <c r="V63" s="39">
        <f t="shared" si="1"/>
        <v>6</v>
      </c>
      <c r="W63" s="3">
        <v>1</v>
      </c>
      <c r="X63" s="3">
        <v>1</v>
      </c>
      <c r="Y63" s="3">
        <v>0</v>
      </c>
      <c r="Z63" s="3">
        <v>1</v>
      </c>
      <c r="AA63" s="3">
        <v>1</v>
      </c>
      <c r="AB63" s="3">
        <v>1</v>
      </c>
      <c r="AC63" s="3">
        <v>1</v>
      </c>
      <c r="AD63" s="39">
        <f t="shared" si="2"/>
        <v>6</v>
      </c>
      <c r="AE63" s="3">
        <v>1</v>
      </c>
      <c r="AF63" s="3">
        <v>1</v>
      </c>
      <c r="AG63" s="3">
        <v>1</v>
      </c>
      <c r="AH63" s="3">
        <v>1</v>
      </c>
      <c r="AI63" s="3">
        <v>1</v>
      </c>
      <c r="AJ63" s="3">
        <v>1</v>
      </c>
      <c r="AK63" s="3">
        <v>1</v>
      </c>
      <c r="AL63" s="3">
        <v>1</v>
      </c>
      <c r="AM63" s="3">
        <v>1</v>
      </c>
      <c r="AN63" s="3">
        <v>1</v>
      </c>
      <c r="AO63" s="40">
        <f t="shared" si="12"/>
        <v>10</v>
      </c>
      <c r="AP63" s="3">
        <v>1</v>
      </c>
      <c r="AQ63" s="3">
        <v>1</v>
      </c>
      <c r="AR63" s="3">
        <v>1</v>
      </c>
      <c r="AS63" s="3">
        <v>1</v>
      </c>
      <c r="AT63" s="3">
        <v>1</v>
      </c>
      <c r="AU63" s="3">
        <v>1</v>
      </c>
      <c r="AV63" s="3">
        <v>1</v>
      </c>
      <c r="AW63" s="43">
        <f t="shared" si="9"/>
        <v>7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3">
        <v>1</v>
      </c>
      <c r="BD63" s="3">
        <v>1</v>
      </c>
      <c r="BE63" s="43">
        <f t="shared" si="10"/>
        <v>7</v>
      </c>
      <c r="BF63" s="3">
        <v>1</v>
      </c>
      <c r="BG63" s="3">
        <v>1</v>
      </c>
      <c r="BH63" s="3">
        <v>1</v>
      </c>
      <c r="BI63" s="3">
        <v>1</v>
      </c>
      <c r="BJ63" s="3">
        <v>1</v>
      </c>
      <c r="BK63" s="3">
        <v>1</v>
      </c>
      <c r="BL63" s="3">
        <v>1</v>
      </c>
      <c r="BM63" s="40">
        <f t="shared" si="11"/>
        <v>7</v>
      </c>
      <c r="BP63" s="22">
        <f t="shared" si="7"/>
        <v>51</v>
      </c>
      <c r="BQ63" s="22">
        <f t="shared" si="8"/>
        <v>92.72727272727272</v>
      </c>
    </row>
    <row r="64" spans="1:69" ht="18" x14ac:dyDescent="0.35">
      <c r="A64" s="2">
        <v>59</v>
      </c>
      <c r="B64" s="16" t="s">
        <v>152</v>
      </c>
      <c r="C64" s="20" t="s">
        <v>153</v>
      </c>
      <c r="D64" s="3">
        <v>1</v>
      </c>
      <c r="E64" s="3">
        <v>1</v>
      </c>
      <c r="F64" s="3">
        <v>0</v>
      </c>
      <c r="G64" s="3">
        <v>0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9">
        <f t="shared" si="0"/>
        <v>7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9">
        <f t="shared" si="1"/>
        <v>8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9">
        <f t="shared" si="2"/>
        <v>7</v>
      </c>
      <c r="AE64" s="3">
        <v>1</v>
      </c>
      <c r="AF64" s="3">
        <v>1</v>
      </c>
      <c r="AG64" s="3">
        <v>1</v>
      </c>
      <c r="AH64" s="3">
        <v>0</v>
      </c>
      <c r="AI64" s="3">
        <v>1</v>
      </c>
      <c r="AJ64" s="3">
        <v>1</v>
      </c>
      <c r="AK64" s="3">
        <v>1</v>
      </c>
      <c r="AL64" s="3">
        <v>1</v>
      </c>
      <c r="AM64" s="3">
        <v>1</v>
      </c>
      <c r="AN64" s="3">
        <v>1</v>
      </c>
      <c r="AO64" s="40">
        <f t="shared" si="12"/>
        <v>9</v>
      </c>
      <c r="AP64" s="3">
        <v>0</v>
      </c>
      <c r="AQ64" s="3">
        <v>1</v>
      </c>
      <c r="AR64" s="3">
        <v>0</v>
      </c>
      <c r="AS64" s="3">
        <v>1</v>
      </c>
      <c r="AT64" s="3">
        <v>0</v>
      </c>
      <c r="AU64" s="3">
        <v>1</v>
      </c>
      <c r="AV64" s="3">
        <v>1</v>
      </c>
      <c r="AW64" s="43">
        <f t="shared" si="9"/>
        <v>4</v>
      </c>
      <c r="AX64" s="3">
        <v>0</v>
      </c>
      <c r="AY64" s="3">
        <v>0</v>
      </c>
      <c r="AZ64" s="3">
        <v>1</v>
      </c>
      <c r="BA64" s="3">
        <v>0</v>
      </c>
      <c r="BB64" s="3">
        <v>1</v>
      </c>
      <c r="BC64" s="3">
        <v>1</v>
      </c>
      <c r="BD64" s="3">
        <v>1</v>
      </c>
      <c r="BE64" s="43">
        <f t="shared" si="10"/>
        <v>4</v>
      </c>
      <c r="BF64" s="3">
        <v>1</v>
      </c>
      <c r="BG64" s="3">
        <v>0</v>
      </c>
      <c r="BH64" s="3">
        <v>1</v>
      </c>
      <c r="BI64" s="3">
        <v>0</v>
      </c>
      <c r="BJ64" s="3">
        <v>0</v>
      </c>
      <c r="BK64" s="3">
        <v>1</v>
      </c>
      <c r="BL64" s="3">
        <v>1</v>
      </c>
      <c r="BM64" s="40">
        <f t="shared" si="11"/>
        <v>4</v>
      </c>
      <c r="BP64" s="22">
        <f t="shared" si="7"/>
        <v>43</v>
      </c>
      <c r="BQ64" s="22">
        <f t="shared" si="8"/>
        <v>78.181818181818187</v>
      </c>
    </row>
    <row r="65" spans="1:69" ht="18" x14ac:dyDescent="0.35">
      <c r="A65" s="2">
        <v>60</v>
      </c>
      <c r="B65" s="16" t="s">
        <v>154</v>
      </c>
      <c r="C65" s="20" t="s">
        <v>155</v>
      </c>
      <c r="D65" s="3">
        <v>0</v>
      </c>
      <c r="E65" s="3">
        <v>0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9">
        <f t="shared" si="0"/>
        <v>7</v>
      </c>
      <c r="N65" s="3">
        <v>1</v>
      </c>
      <c r="O65" s="3">
        <v>1</v>
      </c>
      <c r="P65" s="3">
        <v>0</v>
      </c>
      <c r="Q65" s="3">
        <v>0</v>
      </c>
      <c r="R65" s="3">
        <v>1</v>
      </c>
      <c r="S65" s="3">
        <v>1</v>
      </c>
      <c r="T65" s="3">
        <v>1</v>
      </c>
      <c r="U65" s="3">
        <v>1</v>
      </c>
      <c r="V65" s="39">
        <f t="shared" si="1"/>
        <v>6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1</v>
      </c>
      <c r="AC65" s="3">
        <v>1</v>
      </c>
      <c r="AD65" s="39">
        <f t="shared" si="2"/>
        <v>7</v>
      </c>
      <c r="AE65" s="3">
        <v>1</v>
      </c>
      <c r="AF65" s="3">
        <v>1</v>
      </c>
      <c r="AG65" s="3">
        <v>0</v>
      </c>
      <c r="AH65" s="3">
        <v>1</v>
      </c>
      <c r="AI65" s="3">
        <v>1</v>
      </c>
      <c r="AJ65" s="3">
        <v>1</v>
      </c>
      <c r="AK65" s="3">
        <v>1</v>
      </c>
      <c r="AL65" s="3">
        <v>1</v>
      </c>
      <c r="AM65" s="3">
        <v>1</v>
      </c>
      <c r="AN65" s="3">
        <v>1</v>
      </c>
      <c r="AO65" s="40">
        <f t="shared" si="12"/>
        <v>9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  <c r="AU65" s="3">
        <v>1</v>
      </c>
      <c r="AV65" s="3">
        <v>1</v>
      </c>
      <c r="AW65" s="43">
        <f t="shared" si="9"/>
        <v>7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 s="3">
        <v>1</v>
      </c>
      <c r="BD65" s="3">
        <v>1</v>
      </c>
      <c r="BE65" s="43">
        <f t="shared" si="10"/>
        <v>7</v>
      </c>
      <c r="BF65" s="3">
        <v>1</v>
      </c>
      <c r="BG65" s="3">
        <v>1</v>
      </c>
      <c r="BH65" s="3">
        <v>1</v>
      </c>
      <c r="BI65" s="3">
        <v>1</v>
      </c>
      <c r="BJ65" s="3">
        <v>1</v>
      </c>
      <c r="BK65" s="3">
        <v>1</v>
      </c>
      <c r="BL65" s="3">
        <v>1</v>
      </c>
      <c r="BM65" s="40">
        <f t="shared" si="11"/>
        <v>7</v>
      </c>
      <c r="BP65" s="22">
        <f t="shared" si="7"/>
        <v>50</v>
      </c>
      <c r="BQ65" s="22">
        <f t="shared" si="8"/>
        <v>90.909090909090907</v>
      </c>
    </row>
    <row r="66" spans="1:69" ht="18" x14ac:dyDescent="0.35">
      <c r="A66" s="2">
        <v>61</v>
      </c>
      <c r="B66" s="16" t="s">
        <v>156</v>
      </c>
      <c r="C66" s="20" t="s">
        <v>157</v>
      </c>
      <c r="D66" s="3">
        <v>1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1</v>
      </c>
      <c r="K66" s="3">
        <v>1</v>
      </c>
      <c r="L66" s="3">
        <v>0</v>
      </c>
      <c r="M66" s="39">
        <f t="shared" si="0"/>
        <v>6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9">
        <f t="shared" si="1"/>
        <v>8</v>
      </c>
      <c r="W66" s="3">
        <v>1</v>
      </c>
      <c r="X66" s="3">
        <v>1</v>
      </c>
      <c r="Y66" s="3">
        <v>0</v>
      </c>
      <c r="Z66" s="3">
        <v>1</v>
      </c>
      <c r="AA66" s="3">
        <v>1</v>
      </c>
      <c r="AB66" s="3">
        <v>1</v>
      </c>
      <c r="AC66" s="3">
        <v>1</v>
      </c>
      <c r="AD66" s="39">
        <f t="shared" si="2"/>
        <v>6</v>
      </c>
      <c r="AE66" s="3">
        <v>1</v>
      </c>
      <c r="AF66" s="3">
        <v>1</v>
      </c>
      <c r="AG66" s="3">
        <v>0</v>
      </c>
      <c r="AH66" s="3">
        <v>0</v>
      </c>
      <c r="AI66" s="3">
        <v>1</v>
      </c>
      <c r="AJ66" s="3">
        <v>1</v>
      </c>
      <c r="AK66" s="3">
        <v>1</v>
      </c>
      <c r="AL66" s="3">
        <v>1</v>
      </c>
      <c r="AM66" s="3">
        <v>1</v>
      </c>
      <c r="AN66" s="3">
        <v>1</v>
      </c>
      <c r="AO66" s="40">
        <f t="shared" si="12"/>
        <v>8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  <c r="AU66" s="3">
        <v>1</v>
      </c>
      <c r="AV66" s="3">
        <v>1</v>
      </c>
      <c r="AW66" s="43">
        <f t="shared" si="9"/>
        <v>7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3">
        <v>1</v>
      </c>
      <c r="BD66" s="3">
        <v>1</v>
      </c>
      <c r="BE66" s="43">
        <f t="shared" si="10"/>
        <v>7</v>
      </c>
      <c r="BF66" s="3">
        <v>1</v>
      </c>
      <c r="BG66" s="3">
        <v>1</v>
      </c>
      <c r="BH66" s="3">
        <v>1</v>
      </c>
      <c r="BI66" s="3">
        <v>1</v>
      </c>
      <c r="BJ66" s="3">
        <v>1</v>
      </c>
      <c r="BK66" s="3">
        <v>1</v>
      </c>
      <c r="BL66" s="3">
        <v>1</v>
      </c>
      <c r="BM66" s="40">
        <f t="shared" si="11"/>
        <v>7</v>
      </c>
      <c r="BP66" s="22">
        <f t="shared" si="7"/>
        <v>49</v>
      </c>
      <c r="BQ66" s="22">
        <f t="shared" si="8"/>
        <v>89.090909090909093</v>
      </c>
    </row>
    <row r="67" spans="1:69" ht="18" x14ac:dyDescent="0.35">
      <c r="A67" s="2">
        <v>62</v>
      </c>
      <c r="B67" s="16" t="s">
        <v>158</v>
      </c>
      <c r="C67" s="20" t="s">
        <v>159</v>
      </c>
      <c r="D67" s="3">
        <v>1</v>
      </c>
      <c r="E67" s="3">
        <v>1</v>
      </c>
      <c r="F67" s="3">
        <v>0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9">
        <f t="shared" si="0"/>
        <v>8</v>
      </c>
      <c r="N67" s="3">
        <v>1</v>
      </c>
      <c r="O67" s="3">
        <v>1</v>
      </c>
      <c r="P67" s="3">
        <v>0</v>
      </c>
      <c r="Q67" s="3">
        <v>0</v>
      </c>
      <c r="R67" s="3">
        <v>1</v>
      </c>
      <c r="S67" s="3">
        <v>1</v>
      </c>
      <c r="T67" s="3">
        <v>1</v>
      </c>
      <c r="U67" s="3">
        <v>1</v>
      </c>
      <c r="V67" s="39">
        <f t="shared" si="1"/>
        <v>6</v>
      </c>
      <c r="W67" s="3">
        <v>1</v>
      </c>
      <c r="X67" s="3">
        <v>1</v>
      </c>
      <c r="Y67" s="3">
        <v>0</v>
      </c>
      <c r="Z67" s="3">
        <v>1</v>
      </c>
      <c r="AA67" s="3">
        <v>1</v>
      </c>
      <c r="AB67" s="3">
        <v>1</v>
      </c>
      <c r="AC67" s="3">
        <v>1</v>
      </c>
      <c r="AD67" s="39">
        <f t="shared" si="2"/>
        <v>6</v>
      </c>
      <c r="AE67" s="3">
        <v>1</v>
      </c>
      <c r="AF67" s="3">
        <v>1</v>
      </c>
      <c r="AG67" s="3">
        <v>1</v>
      </c>
      <c r="AH67" s="3">
        <v>1</v>
      </c>
      <c r="AI67" s="3">
        <v>1</v>
      </c>
      <c r="AJ67" s="3">
        <v>1</v>
      </c>
      <c r="AK67" s="3">
        <v>1</v>
      </c>
      <c r="AL67" s="3">
        <v>1</v>
      </c>
      <c r="AM67" s="3">
        <v>1</v>
      </c>
      <c r="AN67" s="3">
        <v>1</v>
      </c>
      <c r="AO67" s="40">
        <f t="shared" si="12"/>
        <v>10</v>
      </c>
      <c r="AP67" s="3">
        <v>1</v>
      </c>
      <c r="AQ67" s="3">
        <v>1</v>
      </c>
      <c r="AR67" s="3">
        <v>1</v>
      </c>
      <c r="AS67" s="3">
        <v>1</v>
      </c>
      <c r="AT67" s="3">
        <v>1</v>
      </c>
      <c r="AU67" s="3">
        <v>1</v>
      </c>
      <c r="AV67" s="3">
        <v>1</v>
      </c>
      <c r="AW67" s="43">
        <f t="shared" si="9"/>
        <v>7</v>
      </c>
      <c r="AX67" s="3">
        <v>1</v>
      </c>
      <c r="AY67" s="3">
        <v>1</v>
      </c>
      <c r="AZ67" s="3">
        <v>1</v>
      </c>
      <c r="BA67" s="3">
        <v>1</v>
      </c>
      <c r="BB67" s="3">
        <v>1</v>
      </c>
      <c r="BC67" s="3">
        <v>1</v>
      </c>
      <c r="BD67" s="3">
        <v>1</v>
      </c>
      <c r="BE67" s="43">
        <f t="shared" si="10"/>
        <v>7</v>
      </c>
      <c r="BF67" s="3">
        <v>1</v>
      </c>
      <c r="BG67" s="3">
        <v>1</v>
      </c>
      <c r="BH67" s="3">
        <v>1</v>
      </c>
      <c r="BI67" s="3">
        <v>1</v>
      </c>
      <c r="BJ67" s="3">
        <v>1</v>
      </c>
      <c r="BK67" s="3">
        <v>1</v>
      </c>
      <c r="BL67" s="3">
        <v>1</v>
      </c>
      <c r="BM67" s="40">
        <f t="shared" si="11"/>
        <v>7</v>
      </c>
      <c r="BP67" s="22">
        <f t="shared" si="7"/>
        <v>51</v>
      </c>
      <c r="BQ67" s="22">
        <f t="shared" si="8"/>
        <v>92.72727272727272</v>
      </c>
    </row>
    <row r="68" spans="1:69" ht="18" x14ac:dyDescent="0.35">
      <c r="A68" s="2">
        <v>63</v>
      </c>
      <c r="B68" s="16" t="s">
        <v>160</v>
      </c>
      <c r="C68" s="20" t="s">
        <v>161</v>
      </c>
      <c r="D68" s="3">
        <v>1</v>
      </c>
      <c r="E68" s="3">
        <v>1</v>
      </c>
      <c r="F68" s="3">
        <v>0</v>
      </c>
      <c r="G68" s="3">
        <v>0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9">
        <f t="shared" si="0"/>
        <v>7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9">
        <f t="shared" si="1"/>
        <v>8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1</v>
      </c>
      <c r="AD68" s="39">
        <f t="shared" si="2"/>
        <v>7</v>
      </c>
      <c r="AE68" s="3">
        <v>1</v>
      </c>
      <c r="AF68" s="3">
        <v>1</v>
      </c>
      <c r="AG68" s="3">
        <v>1</v>
      </c>
      <c r="AH68" s="3">
        <v>0</v>
      </c>
      <c r="AI68" s="3">
        <v>1</v>
      </c>
      <c r="AJ68" s="3">
        <v>1</v>
      </c>
      <c r="AK68" s="3">
        <v>1</v>
      </c>
      <c r="AL68" s="3">
        <v>1</v>
      </c>
      <c r="AM68" s="3">
        <v>1</v>
      </c>
      <c r="AN68" s="3">
        <v>1</v>
      </c>
      <c r="AO68" s="40">
        <f t="shared" si="12"/>
        <v>9</v>
      </c>
      <c r="AP68" s="3">
        <v>1</v>
      </c>
      <c r="AQ68" s="3">
        <v>0</v>
      </c>
      <c r="AR68" s="3">
        <v>1</v>
      </c>
      <c r="AS68" s="3">
        <v>0</v>
      </c>
      <c r="AT68" s="3">
        <v>1</v>
      </c>
      <c r="AU68" s="3">
        <v>0</v>
      </c>
      <c r="AV68" s="3">
        <v>1</v>
      </c>
      <c r="AW68" s="43">
        <f t="shared" si="9"/>
        <v>4</v>
      </c>
      <c r="AX68" s="3">
        <v>1</v>
      </c>
      <c r="AY68" s="3">
        <v>1</v>
      </c>
      <c r="AZ68" s="3">
        <v>0</v>
      </c>
      <c r="BA68" s="3">
        <v>0</v>
      </c>
      <c r="BB68" s="3">
        <v>1</v>
      </c>
      <c r="BC68" s="3">
        <v>0</v>
      </c>
      <c r="BD68" s="3">
        <v>1</v>
      </c>
      <c r="BE68" s="43">
        <f t="shared" si="10"/>
        <v>4</v>
      </c>
      <c r="BF68" s="3">
        <v>0</v>
      </c>
      <c r="BG68" s="3">
        <v>1</v>
      </c>
      <c r="BH68" s="3">
        <v>0</v>
      </c>
      <c r="BI68" s="3">
        <v>0</v>
      </c>
      <c r="BJ68" s="3">
        <v>1</v>
      </c>
      <c r="BK68" s="3">
        <v>1</v>
      </c>
      <c r="BL68" s="3">
        <v>1</v>
      </c>
      <c r="BM68" s="40">
        <f t="shared" si="11"/>
        <v>4</v>
      </c>
      <c r="BP68" s="22">
        <f t="shared" si="7"/>
        <v>43</v>
      </c>
      <c r="BQ68" s="22">
        <f t="shared" si="8"/>
        <v>78.181818181818187</v>
      </c>
    </row>
    <row r="69" spans="1:69" ht="18" x14ac:dyDescent="0.35">
      <c r="A69" s="2">
        <v>64</v>
      </c>
      <c r="B69" s="16" t="s">
        <v>162</v>
      </c>
      <c r="C69" s="20" t="s">
        <v>163</v>
      </c>
      <c r="D69" s="3">
        <v>1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1</v>
      </c>
      <c r="K69" s="3">
        <v>1</v>
      </c>
      <c r="L69" s="3">
        <v>0</v>
      </c>
      <c r="M69" s="39">
        <f t="shared" ref="M69:M70" si="13">SUM(D69:L69)</f>
        <v>6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9">
        <f t="shared" ref="V69:V70" si="14">SUM(N69:U69)</f>
        <v>8</v>
      </c>
      <c r="W69" s="3">
        <v>1</v>
      </c>
      <c r="X69" s="3">
        <v>1</v>
      </c>
      <c r="Y69" s="3">
        <v>0</v>
      </c>
      <c r="Z69" s="3">
        <v>1</v>
      </c>
      <c r="AA69" s="3">
        <v>1</v>
      </c>
      <c r="AB69" s="3">
        <v>1</v>
      </c>
      <c r="AC69" s="3">
        <v>1</v>
      </c>
      <c r="AD69" s="39">
        <f t="shared" ref="AD69:AD70" si="15">SUM(W69:AC69)</f>
        <v>6</v>
      </c>
      <c r="AE69" s="3">
        <v>1</v>
      </c>
      <c r="AF69" s="3">
        <v>1</v>
      </c>
      <c r="AG69" s="3">
        <v>0</v>
      </c>
      <c r="AH69" s="3">
        <v>0</v>
      </c>
      <c r="AI69" s="3">
        <v>1</v>
      </c>
      <c r="AJ69" s="3">
        <v>1</v>
      </c>
      <c r="AK69" s="3">
        <v>1</v>
      </c>
      <c r="AL69" s="3">
        <v>1</v>
      </c>
      <c r="AM69" s="3">
        <v>1</v>
      </c>
      <c r="AN69" s="3">
        <v>1</v>
      </c>
      <c r="AO69" s="40">
        <f t="shared" si="12"/>
        <v>8</v>
      </c>
      <c r="AP69" s="3">
        <v>1</v>
      </c>
      <c r="AQ69" s="3">
        <v>1</v>
      </c>
      <c r="AR69" s="3">
        <v>1</v>
      </c>
      <c r="AS69" s="3">
        <v>1</v>
      </c>
      <c r="AT69" s="3">
        <v>1</v>
      </c>
      <c r="AU69" s="3">
        <v>1</v>
      </c>
      <c r="AV69" s="3">
        <v>1</v>
      </c>
      <c r="AW69" s="43">
        <f t="shared" ref="AW69:AW70" si="16">SUM(AP69:AV69)</f>
        <v>7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 s="3">
        <v>1</v>
      </c>
      <c r="BD69" s="3">
        <v>1</v>
      </c>
      <c r="BE69" s="43">
        <f t="shared" ref="BE69:BE70" si="17">SUM(AX69:BD69)</f>
        <v>7</v>
      </c>
      <c r="BF69" s="3">
        <v>1</v>
      </c>
      <c r="BG69" s="3">
        <v>1</v>
      </c>
      <c r="BH69" s="3">
        <v>1</v>
      </c>
      <c r="BI69" s="3">
        <v>1</v>
      </c>
      <c r="BJ69" s="3">
        <v>1</v>
      </c>
      <c r="BK69" s="3">
        <v>1</v>
      </c>
      <c r="BL69" s="3">
        <v>1</v>
      </c>
      <c r="BM69" s="40">
        <f t="shared" ref="BM69:BM70" si="18">SUM(BF69:BL69)</f>
        <v>7</v>
      </c>
      <c r="BP69" s="22">
        <f t="shared" si="7"/>
        <v>49</v>
      </c>
      <c r="BQ69" s="22">
        <f t="shared" si="8"/>
        <v>89.090909090909093</v>
      </c>
    </row>
    <row r="70" spans="1:69" ht="18" x14ac:dyDescent="0.35">
      <c r="A70" s="2">
        <v>65</v>
      </c>
      <c r="B70" s="17" t="s">
        <v>164</v>
      </c>
      <c r="C70" s="21" t="s">
        <v>165</v>
      </c>
      <c r="D70" s="3">
        <v>0</v>
      </c>
      <c r="E70" s="3">
        <v>0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9">
        <f t="shared" si="13"/>
        <v>7</v>
      </c>
      <c r="N70" s="3">
        <v>1</v>
      </c>
      <c r="O70" s="3">
        <v>1</v>
      </c>
      <c r="P70" s="3">
        <v>0</v>
      </c>
      <c r="Q70" s="3">
        <v>0</v>
      </c>
      <c r="R70" s="3">
        <v>1</v>
      </c>
      <c r="S70" s="3">
        <v>1</v>
      </c>
      <c r="T70" s="3">
        <v>1</v>
      </c>
      <c r="U70" s="3">
        <v>1</v>
      </c>
      <c r="V70" s="39">
        <f t="shared" si="14"/>
        <v>6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9">
        <f t="shared" si="15"/>
        <v>7</v>
      </c>
      <c r="AE70" s="3">
        <v>1</v>
      </c>
      <c r="AF70" s="3">
        <v>1</v>
      </c>
      <c r="AG70" s="3">
        <v>0</v>
      </c>
      <c r="AH70" s="3">
        <v>1</v>
      </c>
      <c r="AI70" s="3">
        <v>1</v>
      </c>
      <c r="AJ70" s="3">
        <v>1</v>
      </c>
      <c r="AK70" s="3">
        <v>1</v>
      </c>
      <c r="AL70" s="3">
        <v>1</v>
      </c>
      <c r="AM70" s="3">
        <v>1</v>
      </c>
      <c r="AN70" s="3">
        <v>1</v>
      </c>
      <c r="AO70" s="40">
        <f t="shared" si="12"/>
        <v>9</v>
      </c>
      <c r="AP70" s="3">
        <v>1</v>
      </c>
      <c r="AQ70" s="3">
        <v>1</v>
      </c>
      <c r="AR70" s="3">
        <v>1</v>
      </c>
      <c r="AS70" s="3">
        <v>1</v>
      </c>
      <c r="AT70" s="3">
        <v>1</v>
      </c>
      <c r="AU70" s="3">
        <v>1</v>
      </c>
      <c r="AV70" s="3">
        <v>1</v>
      </c>
      <c r="AW70" s="43">
        <f t="shared" si="16"/>
        <v>7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 s="3">
        <v>1</v>
      </c>
      <c r="BD70" s="3">
        <v>1</v>
      </c>
      <c r="BE70" s="43">
        <f t="shared" si="17"/>
        <v>7</v>
      </c>
      <c r="BF70" s="3">
        <v>1</v>
      </c>
      <c r="BG70" s="3">
        <v>1</v>
      </c>
      <c r="BH70" s="3">
        <v>1</v>
      </c>
      <c r="BI70" s="3">
        <v>1</v>
      </c>
      <c r="BJ70" s="3">
        <v>1</v>
      </c>
      <c r="BK70" s="3">
        <v>1</v>
      </c>
      <c r="BL70" s="3">
        <v>1</v>
      </c>
      <c r="BM70" s="40">
        <f t="shared" si="18"/>
        <v>7</v>
      </c>
      <c r="BP70" s="22">
        <f t="shared" si="7"/>
        <v>50</v>
      </c>
      <c r="BQ70" s="22">
        <f t="shared" si="8"/>
        <v>90.909090909090907</v>
      </c>
    </row>
  </sheetData>
  <mergeCells count="17">
    <mergeCell ref="AE2:AN2"/>
    <mergeCell ref="AO2:AO3"/>
    <mergeCell ref="A3:A4"/>
    <mergeCell ref="B3:B4"/>
    <mergeCell ref="A5:B5"/>
    <mergeCell ref="D2:L2"/>
    <mergeCell ref="M2:M3"/>
    <mergeCell ref="N2:U2"/>
    <mergeCell ref="V2:V3"/>
    <mergeCell ref="W2:AC2"/>
    <mergeCell ref="AD2:AD3"/>
    <mergeCell ref="BM2:BM3"/>
    <mergeCell ref="AP2:AV2"/>
    <mergeCell ref="AW2:AW3"/>
    <mergeCell ref="AX2:BD2"/>
    <mergeCell ref="BE2:BE3"/>
    <mergeCell ref="BF2:B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0"/>
  <sheetViews>
    <sheetView topLeftCell="AO1" zoomScale="70" zoomScaleNormal="70" workbookViewId="0">
      <selection activeCell="BP6" sqref="BP6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4" width="9.109375" style="15" hidden="1" customWidth="1"/>
    <col min="15" max="15" width="9.109375" style="15" customWidth="1"/>
    <col min="16" max="22" width="9.109375" style="15" hidden="1" customWidth="1"/>
    <col min="23" max="23" width="9.109375" style="15" customWidth="1"/>
    <col min="24" max="30" width="9.109375" style="15" hidden="1" customWidth="1"/>
    <col min="31" max="31" width="9.109375" style="15"/>
    <col min="32" max="38" width="9.109375" style="15" hidden="1" customWidth="1"/>
    <col min="39" max="39" width="9.109375" style="15"/>
    <col min="40" max="47" width="9.109375" style="15" customWidth="1"/>
    <col min="48" max="48" width="9.109375" style="15"/>
    <col min="49" max="54" width="9.109375" style="15" customWidth="1"/>
    <col min="55" max="55" width="9.109375" style="15"/>
    <col min="56" max="63" width="9.109375" style="15" customWidth="1"/>
    <col min="64" max="16384" width="9.109375" style="15"/>
  </cols>
  <sheetData>
    <row r="1" spans="1:68" ht="15.75" thickBot="1" x14ac:dyDescent="0.3"/>
    <row r="2" spans="1:68" ht="15.75" customHeight="1" thickBot="1" x14ac:dyDescent="0.3">
      <c r="D2" s="64" t="s">
        <v>35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0" t="s">
        <v>16</v>
      </c>
      <c r="P2" s="63" t="s">
        <v>7</v>
      </c>
      <c r="Q2" s="63"/>
      <c r="R2" s="63"/>
      <c r="S2" s="63"/>
      <c r="T2" s="63"/>
      <c r="U2" s="63"/>
      <c r="V2" s="63"/>
      <c r="W2" s="60" t="s">
        <v>17</v>
      </c>
      <c r="X2" s="64" t="s">
        <v>7</v>
      </c>
      <c r="Y2" s="64"/>
      <c r="Z2" s="64"/>
      <c r="AA2" s="64"/>
      <c r="AB2" s="64"/>
      <c r="AC2" s="64"/>
      <c r="AD2" s="64"/>
      <c r="AE2" s="60" t="s">
        <v>18</v>
      </c>
      <c r="AF2" s="53" t="s">
        <v>14</v>
      </c>
      <c r="AG2" s="53"/>
      <c r="AH2" s="53"/>
      <c r="AI2" s="53"/>
      <c r="AJ2" s="53"/>
      <c r="AK2" s="53"/>
      <c r="AL2" s="53"/>
      <c r="AM2" s="52" t="s">
        <v>19</v>
      </c>
      <c r="AN2" s="53" t="s">
        <v>14</v>
      </c>
      <c r="AO2" s="53"/>
      <c r="AP2" s="53"/>
      <c r="AQ2" s="53"/>
      <c r="AR2" s="53"/>
      <c r="AS2" s="53"/>
      <c r="AT2" s="53"/>
      <c r="AU2" s="53"/>
      <c r="AV2" s="54" t="s">
        <v>168</v>
      </c>
      <c r="AW2" s="53" t="s">
        <v>172</v>
      </c>
      <c r="AX2" s="53"/>
      <c r="AY2" s="53"/>
      <c r="AZ2" s="53"/>
      <c r="BA2" s="53"/>
      <c r="BB2" s="53"/>
      <c r="BC2" s="52" t="s">
        <v>169</v>
      </c>
      <c r="BD2" s="56" t="s">
        <v>15</v>
      </c>
      <c r="BE2" s="53"/>
      <c r="BF2" s="53"/>
      <c r="BG2" s="53"/>
      <c r="BH2" s="53"/>
      <c r="BI2" s="53"/>
      <c r="BJ2" s="53"/>
      <c r="BK2" s="53"/>
      <c r="BL2" s="52" t="s">
        <v>170</v>
      </c>
    </row>
    <row r="3" spans="1:68" x14ac:dyDescent="0.25">
      <c r="A3" s="58"/>
      <c r="B3" s="59"/>
      <c r="C3" s="29"/>
      <c r="D3" s="4" t="s">
        <v>8</v>
      </c>
      <c r="E3" s="4" t="s">
        <v>9</v>
      </c>
      <c r="F3" s="4" t="s">
        <v>10</v>
      </c>
      <c r="G3" s="4" t="s">
        <v>12</v>
      </c>
      <c r="H3" s="4" t="s">
        <v>8</v>
      </c>
      <c r="I3" s="4" t="s">
        <v>9</v>
      </c>
      <c r="J3" s="4" t="s">
        <v>10</v>
      </c>
      <c r="K3" s="4" t="s">
        <v>12</v>
      </c>
      <c r="L3" s="4" t="s">
        <v>8</v>
      </c>
      <c r="M3" s="4" t="s">
        <v>9</v>
      </c>
      <c r="N3" s="4" t="s">
        <v>10</v>
      </c>
      <c r="O3" s="61"/>
      <c r="P3" s="4" t="s">
        <v>8</v>
      </c>
      <c r="Q3" s="4" t="s">
        <v>9</v>
      </c>
      <c r="R3" s="4" t="s">
        <v>10</v>
      </c>
      <c r="S3" s="4" t="s">
        <v>12</v>
      </c>
      <c r="T3" s="4" t="s">
        <v>8</v>
      </c>
      <c r="U3" s="4" t="s">
        <v>9</v>
      </c>
      <c r="V3" s="4" t="s">
        <v>10</v>
      </c>
      <c r="W3" s="61"/>
      <c r="X3" s="4" t="s">
        <v>8</v>
      </c>
      <c r="Y3" s="4" t="s">
        <v>9</v>
      </c>
      <c r="Z3" s="4" t="s">
        <v>10</v>
      </c>
      <c r="AA3" s="4" t="s">
        <v>12</v>
      </c>
      <c r="AB3" s="4" t="s">
        <v>8</v>
      </c>
      <c r="AC3" s="4" t="s">
        <v>10</v>
      </c>
      <c r="AD3" s="4" t="s">
        <v>12</v>
      </c>
      <c r="AE3" s="61"/>
      <c r="AF3" s="30" t="s">
        <v>1</v>
      </c>
      <c r="AG3" s="30" t="s">
        <v>2</v>
      </c>
      <c r="AH3" s="30" t="s">
        <v>3</v>
      </c>
      <c r="AI3" s="30" t="s">
        <v>1</v>
      </c>
      <c r="AJ3" s="30" t="s">
        <v>2</v>
      </c>
      <c r="AK3" s="30" t="s">
        <v>3</v>
      </c>
      <c r="AL3" s="30" t="s">
        <v>5</v>
      </c>
      <c r="AM3" s="52"/>
      <c r="AN3" s="34" t="s">
        <v>1</v>
      </c>
      <c r="AO3" s="34" t="s">
        <v>2</v>
      </c>
      <c r="AP3" s="34" t="s">
        <v>3</v>
      </c>
      <c r="AQ3" s="34" t="s">
        <v>5</v>
      </c>
      <c r="AR3" s="34" t="s">
        <v>1</v>
      </c>
      <c r="AS3" s="34" t="s">
        <v>2</v>
      </c>
      <c r="AT3" s="34" t="s">
        <v>3</v>
      </c>
      <c r="AU3" s="34" t="s">
        <v>5</v>
      </c>
      <c r="AV3" s="55"/>
      <c r="AW3" s="34" t="s">
        <v>1</v>
      </c>
      <c r="AX3" s="34" t="s">
        <v>2</v>
      </c>
      <c r="AY3" s="34" t="s">
        <v>3</v>
      </c>
      <c r="AZ3" s="34" t="s">
        <v>5</v>
      </c>
      <c r="BA3" s="34" t="s">
        <v>1</v>
      </c>
      <c r="BB3" s="34" t="s">
        <v>2</v>
      </c>
      <c r="BC3" s="52"/>
      <c r="BD3" s="34" t="s">
        <v>3</v>
      </c>
      <c r="BE3" s="34" t="s">
        <v>1</v>
      </c>
      <c r="BF3" s="34" t="s">
        <v>2</v>
      </c>
      <c r="BG3" s="34" t="s">
        <v>4</v>
      </c>
      <c r="BH3" s="34" t="s">
        <v>1</v>
      </c>
      <c r="BI3" s="34" t="s">
        <v>2</v>
      </c>
      <c r="BJ3" s="34" t="s">
        <v>2</v>
      </c>
      <c r="BK3" s="34" t="s">
        <v>4</v>
      </c>
      <c r="BL3" s="52"/>
    </row>
    <row r="4" spans="1:68" x14ac:dyDescent="0.25">
      <c r="A4" s="58"/>
      <c r="B4" s="59"/>
      <c r="C4" s="35" t="s">
        <v>167</v>
      </c>
      <c r="D4" s="6">
        <v>15</v>
      </c>
      <c r="E4" s="6">
        <v>16</v>
      </c>
      <c r="F4" s="6">
        <v>17</v>
      </c>
      <c r="G4" s="6">
        <v>19</v>
      </c>
      <c r="H4" s="6">
        <v>22</v>
      </c>
      <c r="I4" s="6">
        <v>23</v>
      </c>
      <c r="J4" s="6">
        <v>24</v>
      </c>
      <c r="K4" s="6">
        <v>26</v>
      </c>
      <c r="L4" s="6">
        <v>29</v>
      </c>
      <c r="M4" s="6">
        <v>30</v>
      </c>
      <c r="N4" s="6">
        <v>31</v>
      </c>
      <c r="O4" s="6"/>
      <c r="P4" s="30">
        <v>5</v>
      </c>
      <c r="Q4" s="30">
        <v>6</v>
      </c>
      <c r="R4" s="30">
        <v>7</v>
      </c>
      <c r="S4" s="30">
        <v>9</v>
      </c>
      <c r="T4" s="30">
        <v>12</v>
      </c>
      <c r="U4" s="30">
        <v>13</v>
      </c>
      <c r="V4" s="30">
        <v>14</v>
      </c>
      <c r="W4" s="30"/>
      <c r="X4" s="30">
        <v>19</v>
      </c>
      <c r="Y4" s="30">
        <v>20</v>
      </c>
      <c r="Z4" s="30">
        <v>21</v>
      </c>
      <c r="AA4" s="30">
        <v>23</v>
      </c>
      <c r="AB4" s="30">
        <v>26</v>
      </c>
      <c r="AC4" s="30">
        <v>28</v>
      </c>
      <c r="AD4" s="30">
        <v>30</v>
      </c>
      <c r="AE4" s="27"/>
      <c r="AF4" s="30">
        <v>2</v>
      </c>
      <c r="AG4" s="30">
        <v>3</v>
      </c>
      <c r="AH4" s="30">
        <v>4</v>
      </c>
      <c r="AI4" s="30">
        <v>9</v>
      </c>
      <c r="AJ4" s="30">
        <v>10</v>
      </c>
      <c r="AK4" s="30">
        <v>11</v>
      </c>
      <c r="AL4" s="30">
        <v>13</v>
      </c>
      <c r="AM4" s="7"/>
      <c r="AN4" s="34">
        <v>16</v>
      </c>
      <c r="AO4" s="34">
        <v>17</v>
      </c>
      <c r="AP4" s="34">
        <v>18</v>
      </c>
      <c r="AQ4" s="34">
        <v>20</v>
      </c>
      <c r="AR4" s="34">
        <v>23</v>
      </c>
      <c r="AS4" s="34">
        <v>24</v>
      </c>
      <c r="AT4" s="34">
        <v>25</v>
      </c>
      <c r="AU4" s="34">
        <v>27</v>
      </c>
      <c r="AV4" s="7"/>
      <c r="AW4" s="34">
        <v>7</v>
      </c>
      <c r="AX4" s="34">
        <v>8</v>
      </c>
      <c r="AY4" s="34">
        <v>9</v>
      </c>
      <c r="AZ4" s="34">
        <v>11</v>
      </c>
      <c r="BA4" s="34">
        <v>14</v>
      </c>
      <c r="BB4" s="34">
        <v>15</v>
      </c>
      <c r="BC4" s="7"/>
      <c r="BD4" s="34">
        <v>16</v>
      </c>
      <c r="BE4" s="6">
        <v>21</v>
      </c>
      <c r="BF4" s="34">
        <v>22</v>
      </c>
      <c r="BG4" s="34">
        <v>24</v>
      </c>
      <c r="BH4" s="34">
        <v>28</v>
      </c>
      <c r="BI4" s="34">
        <v>29</v>
      </c>
      <c r="BJ4" s="34">
        <v>29</v>
      </c>
      <c r="BK4" s="34">
        <v>31</v>
      </c>
      <c r="BL4" s="7"/>
    </row>
    <row r="5" spans="1:68" s="26" customFormat="1" ht="21" customHeight="1" x14ac:dyDescent="0.25">
      <c r="A5" s="57" t="s">
        <v>0</v>
      </c>
      <c r="B5" s="57"/>
      <c r="C5" s="28"/>
      <c r="D5" s="24">
        <v>1</v>
      </c>
      <c r="E5" s="24">
        <v>1</v>
      </c>
      <c r="F5" s="24">
        <v>1</v>
      </c>
      <c r="G5" s="25">
        <v>1</v>
      </c>
      <c r="H5" s="25">
        <v>1</v>
      </c>
      <c r="I5" s="25">
        <v>1</v>
      </c>
      <c r="J5" s="25">
        <v>1</v>
      </c>
      <c r="K5" s="25">
        <v>1</v>
      </c>
      <c r="L5" s="25">
        <v>1</v>
      </c>
      <c r="M5" s="25">
        <v>1</v>
      </c>
      <c r="N5" s="25">
        <v>1</v>
      </c>
      <c r="O5" s="36">
        <f t="shared" ref="O5:O35" si="0">SUM(D5:N5)</f>
        <v>11</v>
      </c>
      <c r="P5" s="25">
        <v>1</v>
      </c>
      <c r="Q5" s="25">
        <v>1</v>
      </c>
      <c r="R5" s="25">
        <v>1</v>
      </c>
      <c r="S5" s="25">
        <v>1</v>
      </c>
      <c r="T5" s="25">
        <v>1</v>
      </c>
      <c r="U5" s="25">
        <v>1</v>
      </c>
      <c r="V5" s="25">
        <v>1</v>
      </c>
      <c r="W5" s="36">
        <f t="shared" ref="W5:W35" si="1">SUM(P5:V5)</f>
        <v>7</v>
      </c>
      <c r="X5" s="25">
        <v>1</v>
      </c>
      <c r="Y5" s="25">
        <v>1</v>
      </c>
      <c r="Z5" s="25">
        <v>1</v>
      </c>
      <c r="AA5" s="25">
        <v>1</v>
      </c>
      <c r="AB5" s="25">
        <v>1</v>
      </c>
      <c r="AC5" s="25">
        <v>1</v>
      </c>
      <c r="AD5" s="25">
        <v>1</v>
      </c>
      <c r="AE5" s="36">
        <f t="shared" ref="AE5:AE35" si="2">SUM(X5:AD5)</f>
        <v>7</v>
      </c>
      <c r="AF5" s="24">
        <v>1</v>
      </c>
      <c r="AG5" s="25">
        <v>1</v>
      </c>
      <c r="AH5" s="24">
        <v>1</v>
      </c>
      <c r="AI5" s="25">
        <v>1</v>
      </c>
      <c r="AJ5" s="24">
        <v>1</v>
      </c>
      <c r="AK5" s="25">
        <v>1</v>
      </c>
      <c r="AL5" s="25">
        <v>1</v>
      </c>
      <c r="AM5" s="38">
        <f t="shared" ref="AM5:AM35" si="3">SUM(AF5:AL5)</f>
        <v>7</v>
      </c>
      <c r="AN5" s="24">
        <v>1</v>
      </c>
      <c r="AO5" s="25">
        <v>1</v>
      </c>
      <c r="AP5" s="24">
        <v>1</v>
      </c>
      <c r="AQ5" s="25">
        <v>1</v>
      </c>
      <c r="AR5" s="25">
        <v>1</v>
      </c>
      <c r="AS5" s="24">
        <v>1</v>
      </c>
      <c r="AT5" s="25">
        <v>1</v>
      </c>
      <c r="AU5" s="25">
        <v>1</v>
      </c>
      <c r="AV5" s="38">
        <f t="shared" ref="AV5:AV36" si="4">SUM(AN5:AU5)</f>
        <v>8</v>
      </c>
      <c r="AW5" s="24">
        <v>1</v>
      </c>
      <c r="AX5" s="25">
        <v>1</v>
      </c>
      <c r="AY5" s="24">
        <v>1</v>
      </c>
      <c r="AZ5" s="24">
        <v>1</v>
      </c>
      <c r="BA5" s="25">
        <v>1</v>
      </c>
      <c r="BB5" s="24">
        <v>1</v>
      </c>
      <c r="BC5" s="38">
        <f t="shared" ref="BC5:BC36" si="5">SUM(AW5:BB5)</f>
        <v>6</v>
      </c>
      <c r="BD5" s="25">
        <v>1</v>
      </c>
      <c r="BE5" s="24">
        <v>1</v>
      </c>
      <c r="BF5" s="24">
        <v>1</v>
      </c>
      <c r="BG5" s="24">
        <v>1</v>
      </c>
      <c r="BH5" s="24">
        <v>1</v>
      </c>
      <c r="BI5" s="24">
        <v>1</v>
      </c>
      <c r="BJ5" s="24">
        <v>1</v>
      </c>
      <c r="BK5" s="25">
        <v>1</v>
      </c>
      <c r="BL5" s="38">
        <f t="shared" ref="BL5:BL36" si="6">SUM(BD5:BK5)</f>
        <v>8</v>
      </c>
      <c r="BO5" s="28">
        <f t="shared" ref="BO5:BO36" si="7">O5+W5+AE5+AM5+AV5+BC5+BL5</f>
        <v>54</v>
      </c>
      <c r="BP5" s="28"/>
    </row>
    <row r="6" spans="1:68" ht="18.75" x14ac:dyDescent="0.3">
      <c r="A6" s="2">
        <v>1</v>
      </c>
      <c r="B6" s="16" t="s">
        <v>36</v>
      </c>
      <c r="C6" s="20" t="s">
        <v>37</v>
      </c>
      <c r="D6" s="3">
        <v>1</v>
      </c>
      <c r="E6" s="3">
        <v>0</v>
      </c>
      <c r="F6" s="3">
        <v>1</v>
      </c>
      <c r="G6" s="3">
        <v>1</v>
      </c>
      <c r="H6" s="3">
        <v>0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9">
        <f t="shared" si="0"/>
        <v>9</v>
      </c>
      <c r="P6" s="3">
        <v>1</v>
      </c>
      <c r="Q6" s="3">
        <v>0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9">
        <f t="shared" si="1"/>
        <v>6</v>
      </c>
      <c r="X6" s="3">
        <v>0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9">
        <f t="shared" si="2"/>
        <v>6</v>
      </c>
      <c r="AF6" s="3">
        <v>1</v>
      </c>
      <c r="AG6" s="3">
        <v>0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40">
        <f t="shared" si="3"/>
        <v>6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40">
        <f t="shared" si="4"/>
        <v>8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40">
        <f t="shared" si="5"/>
        <v>6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40">
        <f t="shared" si="6"/>
        <v>8</v>
      </c>
      <c r="BO6" s="22">
        <f t="shared" si="7"/>
        <v>49</v>
      </c>
      <c r="BP6" s="22">
        <f>BO6/54*100</f>
        <v>90.740740740740748</v>
      </c>
    </row>
    <row r="7" spans="1:68" ht="18.75" x14ac:dyDescent="0.3">
      <c r="A7" s="2">
        <v>2</v>
      </c>
      <c r="B7" s="16" t="s">
        <v>38</v>
      </c>
      <c r="C7" s="20" t="s">
        <v>39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0</v>
      </c>
      <c r="N7" s="3">
        <v>1</v>
      </c>
      <c r="O7" s="39">
        <f t="shared" si="0"/>
        <v>10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0</v>
      </c>
      <c r="V7" s="3">
        <v>1</v>
      </c>
      <c r="W7" s="39">
        <f t="shared" si="1"/>
        <v>6</v>
      </c>
      <c r="X7" s="3">
        <v>1</v>
      </c>
      <c r="Y7" s="3">
        <v>1</v>
      </c>
      <c r="Z7" s="3">
        <v>1</v>
      </c>
      <c r="AA7" s="3">
        <v>1</v>
      </c>
      <c r="AB7" s="3">
        <v>0</v>
      </c>
      <c r="AC7" s="3">
        <v>1</v>
      </c>
      <c r="AD7" s="3">
        <v>1</v>
      </c>
      <c r="AE7" s="39">
        <f t="shared" si="2"/>
        <v>6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40">
        <f t="shared" si="3"/>
        <v>7</v>
      </c>
      <c r="AN7" s="3">
        <v>1</v>
      </c>
      <c r="AO7" s="3">
        <v>1</v>
      </c>
      <c r="AP7" s="3">
        <v>0</v>
      </c>
      <c r="AQ7" s="3">
        <v>1</v>
      </c>
      <c r="AR7" s="3">
        <v>0</v>
      </c>
      <c r="AS7" s="3">
        <v>1</v>
      </c>
      <c r="AT7" s="3">
        <v>0</v>
      </c>
      <c r="AU7" s="3">
        <v>1</v>
      </c>
      <c r="AV7" s="40">
        <f t="shared" si="4"/>
        <v>5</v>
      </c>
      <c r="AW7" s="3">
        <v>0</v>
      </c>
      <c r="AX7" s="3">
        <v>0</v>
      </c>
      <c r="AY7" s="3">
        <v>1</v>
      </c>
      <c r="AZ7" s="3">
        <v>0</v>
      </c>
      <c r="BA7" s="3">
        <v>0</v>
      </c>
      <c r="BB7" s="3">
        <v>1</v>
      </c>
      <c r="BC7" s="40">
        <f t="shared" si="5"/>
        <v>2</v>
      </c>
      <c r="BD7" s="3">
        <v>1</v>
      </c>
      <c r="BE7" s="3">
        <v>1</v>
      </c>
      <c r="BF7" s="3">
        <v>0</v>
      </c>
      <c r="BG7" s="3">
        <v>0</v>
      </c>
      <c r="BH7" s="3">
        <v>1</v>
      </c>
      <c r="BI7" s="3">
        <v>1</v>
      </c>
      <c r="BJ7" s="3">
        <v>1</v>
      </c>
      <c r="BK7" s="3">
        <v>1</v>
      </c>
      <c r="BL7" s="40">
        <f t="shared" si="6"/>
        <v>6</v>
      </c>
      <c r="BO7" s="22">
        <f t="shared" si="7"/>
        <v>42</v>
      </c>
      <c r="BP7" s="22">
        <f t="shared" ref="BP7:BP70" si="8">BO7/54*100</f>
        <v>77.777777777777786</v>
      </c>
    </row>
    <row r="8" spans="1:68" ht="18.75" x14ac:dyDescent="0.3">
      <c r="A8" s="2">
        <v>3</v>
      </c>
      <c r="B8" s="16" t="s">
        <v>40</v>
      </c>
      <c r="C8" s="20" t="s">
        <v>41</v>
      </c>
      <c r="D8" s="3">
        <v>1</v>
      </c>
      <c r="E8" s="3">
        <v>0</v>
      </c>
      <c r="F8" s="3">
        <v>1</v>
      </c>
      <c r="G8" s="3">
        <v>1</v>
      </c>
      <c r="H8" s="3">
        <v>0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9">
        <f t="shared" ref="O8" si="9">SUM(D8:N8)</f>
        <v>9</v>
      </c>
      <c r="P8" s="3">
        <v>1</v>
      </c>
      <c r="Q8" s="3">
        <v>0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9">
        <f t="shared" ref="W8" si="10">SUM(P8:V8)</f>
        <v>6</v>
      </c>
      <c r="X8" s="3">
        <v>0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9">
        <f t="shared" ref="AE8" si="11">SUM(X8:AD8)</f>
        <v>6</v>
      </c>
      <c r="AF8" s="3">
        <v>1</v>
      </c>
      <c r="AG8" s="3">
        <v>0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40">
        <f t="shared" ref="AM8" si="12">SUM(AF8:AL8)</f>
        <v>6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40">
        <f t="shared" si="4"/>
        <v>8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40">
        <f t="shared" si="5"/>
        <v>6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40">
        <f t="shared" si="6"/>
        <v>8</v>
      </c>
      <c r="BO8" s="22">
        <f t="shared" si="7"/>
        <v>49</v>
      </c>
      <c r="BP8" s="22">
        <f t="shared" si="8"/>
        <v>90.740740740740748</v>
      </c>
    </row>
    <row r="9" spans="1:68" ht="18.75" x14ac:dyDescent="0.3">
      <c r="A9" s="2">
        <v>4</v>
      </c>
      <c r="B9" s="16" t="s">
        <v>42</v>
      </c>
      <c r="C9" s="20" t="s">
        <v>43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0</v>
      </c>
      <c r="O9" s="39">
        <f t="shared" si="0"/>
        <v>10</v>
      </c>
      <c r="P9" s="3">
        <v>1</v>
      </c>
      <c r="Q9" s="3">
        <v>1</v>
      </c>
      <c r="R9" s="3">
        <v>1</v>
      </c>
      <c r="S9" s="3">
        <v>1</v>
      </c>
      <c r="T9" s="3">
        <v>0</v>
      </c>
      <c r="U9" s="3">
        <v>1</v>
      </c>
      <c r="V9" s="3">
        <v>1</v>
      </c>
      <c r="W9" s="39">
        <f t="shared" si="1"/>
        <v>6</v>
      </c>
      <c r="X9" s="3">
        <v>1</v>
      </c>
      <c r="Y9" s="3">
        <v>1</v>
      </c>
      <c r="Z9" s="3">
        <v>1</v>
      </c>
      <c r="AA9" s="3">
        <v>1</v>
      </c>
      <c r="AB9" s="3">
        <v>0</v>
      </c>
      <c r="AC9" s="3">
        <v>1</v>
      </c>
      <c r="AD9" s="3">
        <v>1</v>
      </c>
      <c r="AE9" s="39">
        <f t="shared" si="2"/>
        <v>6</v>
      </c>
      <c r="AF9" s="3">
        <v>1</v>
      </c>
      <c r="AG9" s="3">
        <v>1</v>
      </c>
      <c r="AH9" s="3">
        <v>1</v>
      </c>
      <c r="AI9" s="3">
        <v>1</v>
      </c>
      <c r="AJ9" s="3">
        <v>0</v>
      </c>
      <c r="AK9" s="3">
        <v>1</v>
      </c>
      <c r="AL9" s="3">
        <v>1</v>
      </c>
      <c r="AM9" s="40">
        <f t="shared" si="3"/>
        <v>6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40">
        <f t="shared" si="4"/>
        <v>8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40">
        <f t="shared" si="5"/>
        <v>6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40">
        <f t="shared" si="6"/>
        <v>8</v>
      </c>
      <c r="BO9" s="22">
        <f t="shared" si="7"/>
        <v>50</v>
      </c>
      <c r="BP9" s="22">
        <f t="shared" si="8"/>
        <v>92.592592592592595</v>
      </c>
    </row>
    <row r="10" spans="1:68" ht="18.75" x14ac:dyDescent="0.3">
      <c r="A10" s="2">
        <v>5</v>
      </c>
      <c r="B10" s="16" t="s">
        <v>44</v>
      </c>
      <c r="C10" s="20" t="s">
        <v>45</v>
      </c>
      <c r="D10" s="3">
        <v>1</v>
      </c>
      <c r="E10" s="3">
        <v>0</v>
      </c>
      <c r="F10" s="3">
        <v>1</v>
      </c>
      <c r="G10" s="3">
        <v>1</v>
      </c>
      <c r="H10" s="3">
        <v>0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9">
        <f t="shared" ref="O10" si="13">SUM(D10:N10)</f>
        <v>9</v>
      </c>
      <c r="P10" s="3">
        <v>1</v>
      </c>
      <c r="Q10" s="3">
        <v>0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9">
        <f t="shared" ref="W10" si="14">SUM(P10:V10)</f>
        <v>6</v>
      </c>
      <c r="X10" s="3">
        <v>0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9">
        <f t="shared" ref="AE10" si="15">SUM(X10:AD10)</f>
        <v>6</v>
      </c>
      <c r="AF10" s="3">
        <v>1</v>
      </c>
      <c r="AG10" s="3">
        <v>0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40">
        <f t="shared" ref="AM10" si="16">SUM(AF10:AL10)</f>
        <v>6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40">
        <f t="shared" si="4"/>
        <v>8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40">
        <f t="shared" si="5"/>
        <v>6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40">
        <f t="shared" si="6"/>
        <v>8</v>
      </c>
      <c r="BO10" s="22">
        <f t="shared" si="7"/>
        <v>49</v>
      </c>
      <c r="BP10" s="22">
        <f t="shared" si="8"/>
        <v>90.740740740740748</v>
      </c>
    </row>
    <row r="11" spans="1:68" ht="18.75" x14ac:dyDescent="0.3">
      <c r="A11" s="2">
        <v>6</v>
      </c>
      <c r="B11" s="16" t="s">
        <v>46</v>
      </c>
      <c r="C11" s="20" t="s">
        <v>47</v>
      </c>
      <c r="D11" s="3">
        <v>0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0</v>
      </c>
      <c r="O11" s="39">
        <f t="shared" si="0"/>
        <v>9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9">
        <f t="shared" si="1"/>
        <v>7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9">
        <f t="shared" si="2"/>
        <v>7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40">
        <f t="shared" si="3"/>
        <v>7</v>
      </c>
      <c r="AN11" s="3">
        <v>1</v>
      </c>
      <c r="AO11" s="3">
        <v>0</v>
      </c>
      <c r="AP11" s="3">
        <v>1</v>
      </c>
      <c r="AQ11" s="3">
        <v>0</v>
      </c>
      <c r="AR11" s="3">
        <v>1</v>
      </c>
      <c r="AS11" s="3">
        <v>0</v>
      </c>
      <c r="AT11" s="3">
        <v>1</v>
      </c>
      <c r="AU11" s="3">
        <v>1</v>
      </c>
      <c r="AV11" s="40">
        <f t="shared" si="4"/>
        <v>5</v>
      </c>
      <c r="AW11" s="3">
        <v>1</v>
      </c>
      <c r="AX11" s="3">
        <v>0</v>
      </c>
      <c r="AY11" s="3">
        <v>0</v>
      </c>
      <c r="AZ11" s="3">
        <v>1</v>
      </c>
      <c r="BA11" s="3">
        <v>0</v>
      </c>
      <c r="BB11" s="3">
        <v>0</v>
      </c>
      <c r="BC11" s="40">
        <f t="shared" si="5"/>
        <v>2</v>
      </c>
      <c r="BD11" s="3">
        <v>1</v>
      </c>
      <c r="BE11" s="3">
        <v>0</v>
      </c>
      <c r="BF11" s="3">
        <v>1</v>
      </c>
      <c r="BG11" s="3">
        <v>0</v>
      </c>
      <c r="BH11" s="3">
        <v>0</v>
      </c>
      <c r="BI11" s="3">
        <v>1</v>
      </c>
      <c r="BJ11" s="3">
        <v>1</v>
      </c>
      <c r="BK11" s="3">
        <v>1</v>
      </c>
      <c r="BL11" s="40">
        <f t="shared" si="6"/>
        <v>5</v>
      </c>
      <c r="BO11" s="22">
        <f t="shared" si="7"/>
        <v>42</v>
      </c>
      <c r="BP11" s="22">
        <f t="shared" si="8"/>
        <v>77.777777777777786</v>
      </c>
    </row>
    <row r="12" spans="1:68" ht="18.75" x14ac:dyDescent="0.3">
      <c r="A12" s="2">
        <v>7</v>
      </c>
      <c r="B12" s="16" t="s">
        <v>48</v>
      </c>
      <c r="C12" s="20" t="s">
        <v>49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0</v>
      </c>
      <c r="O12" s="39">
        <f t="shared" ref="O12" si="17">SUM(D12:N12)</f>
        <v>10</v>
      </c>
      <c r="P12" s="3">
        <v>1</v>
      </c>
      <c r="Q12" s="3">
        <v>1</v>
      </c>
      <c r="R12" s="3">
        <v>1</v>
      </c>
      <c r="S12" s="3">
        <v>1</v>
      </c>
      <c r="T12" s="3">
        <v>0</v>
      </c>
      <c r="U12" s="3">
        <v>1</v>
      </c>
      <c r="V12" s="3">
        <v>1</v>
      </c>
      <c r="W12" s="39">
        <f t="shared" ref="W12" si="18">SUM(P12:V12)</f>
        <v>6</v>
      </c>
      <c r="X12" s="3">
        <v>1</v>
      </c>
      <c r="Y12" s="3">
        <v>1</v>
      </c>
      <c r="Z12" s="3">
        <v>1</v>
      </c>
      <c r="AA12" s="3">
        <v>1</v>
      </c>
      <c r="AB12" s="3">
        <v>0</v>
      </c>
      <c r="AC12" s="3">
        <v>1</v>
      </c>
      <c r="AD12" s="3">
        <v>1</v>
      </c>
      <c r="AE12" s="39">
        <f t="shared" ref="AE12" si="19">SUM(X12:AD12)</f>
        <v>6</v>
      </c>
      <c r="AF12" s="3">
        <v>1</v>
      </c>
      <c r="AG12" s="3">
        <v>1</v>
      </c>
      <c r="AH12" s="3">
        <v>1</v>
      </c>
      <c r="AI12" s="3">
        <v>1</v>
      </c>
      <c r="AJ12" s="3">
        <v>0</v>
      </c>
      <c r="AK12" s="3">
        <v>1</v>
      </c>
      <c r="AL12" s="3">
        <v>1</v>
      </c>
      <c r="AM12" s="40">
        <f t="shared" ref="AM12" si="20">SUM(AF12:AL12)</f>
        <v>6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40">
        <f t="shared" si="4"/>
        <v>8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40">
        <f t="shared" si="5"/>
        <v>6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40">
        <f t="shared" si="6"/>
        <v>8</v>
      </c>
      <c r="BO12" s="22">
        <f t="shared" si="7"/>
        <v>50</v>
      </c>
      <c r="BP12" s="22">
        <f t="shared" si="8"/>
        <v>92.592592592592595</v>
      </c>
    </row>
    <row r="13" spans="1:68" ht="18.75" x14ac:dyDescent="0.3">
      <c r="A13" s="2">
        <v>8</v>
      </c>
      <c r="B13" s="16" t="s">
        <v>50</v>
      </c>
      <c r="C13" s="20" t="s">
        <v>51</v>
      </c>
      <c r="D13" s="3">
        <v>1</v>
      </c>
      <c r="E13" s="3">
        <v>0</v>
      </c>
      <c r="F13" s="3">
        <v>1</v>
      </c>
      <c r="G13" s="3">
        <v>1</v>
      </c>
      <c r="H13" s="3">
        <v>0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9">
        <f t="shared" ref="O13:O14" si="21">SUM(D13:N13)</f>
        <v>9</v>
      </c>
      <c r="P13" s="3">
        <v>1</v>
      </c>
      <c r="Q13" s="3">
        <v>0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9">
        <f t="shared" ref="W13:W14" si="22">SUM(P13:V13)</f>
        <v>6</v>
      </c>
      <c r="X13" s="3">
        <v>0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9">
        <f t="shared" ref="AE13:AE14" si="23">SUM(X13:AD13)</f>
        <v>6</v>
      </c>
      <c r="AF13" s="3">
        <v>1</v>
      </c>
      <c r="AG13" s="3">
        <v>0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40">
        <f t="shared" ref="AM13:AM14" si="24">SUM(AF13:AL13)</f>
        <v>6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40">
        <f t="shared" si="4"/>
        <v>8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40">
        <f t="shared" si="5"/>
        <v>6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40">
        <f t="shared" si="6"/>
        <v>8</v>
      </c>
      <c r="BO13" s="22">
        <f t="shared" si="7"/>
        <v>49</v>
      </c>
      <c r="BP13" s="22">
        <f t="shared" si="8"/>
        <v>90.740740740740748</v>
      </c>
    </row>
    <row r="14" spans="1:68" ht="18.75" x14ac:dyDescent="0.3">
      <c r="A14" s="2">
        <v>9</v>
      </c>
      <c r="B14" s="16" t="s">
        <v>52</v>
      </c>
      <c r="C14" s="20" t="s">
        <v>53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0</v>
      </c>
      <c r="N14" s="3">
        <v>1</v>
      </c>
      <c r="O14" s="39">
        <f t="shared" si="21"/>
        <v>10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0</v>
      </c>
      <c r="V14" s="3">
        <v>1</v>
      </c>
      <c r="W14" s="39">
        <f t="shared" si="22"/>
        <v>6</v>
      </c>
      <c r="X14" s="3">
        <v>1</v>
      </c>
      <c r="Y14" s="3">
        <v>1</v>
      </c>
      <c r="Z14" s="3">
        <v>1</v>
      </c>
      <c r="AA14" s="3">
        <v>1</v>
      </c>
      <c r="AB14" s="3">
        <v>0</v>
      </c>
      <c r="AC14" s="3">
        <v>1</v>
      </c>
      <c r="AD14" s="3">
        <v>1</v>
      </c>
      <c r="AE14" s="39">
        <f t="shared" si="23"/>
        <v>6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40">
        <f t="shared" si="24"/>
        <v>7</v>
      </c>
      <c r="AN14" s="3">
        <v>1</v>
      </c>
      <c r="AO14" s="3">
        <v>1</v>
      </c>
      <c r="AP14" s="3">
        <v>0</v>
      </c>
      <c r="AQ14" s="3">
        <v>1</v>
      </c>
      <c r="AR14" s="3">
        <v>0</v>
      </c>
      <c r="AS14" s="3">
        <v>1</v>
      </c>
      <c r="AT14" s="3">
        <v>0</v>
      </c>
      <c r="AU14" s="3">
        <v>1</v>
      </c>
      <c r="AV14" s="40">
        <f t="shared" si="4"/>
        <v>5</v>
      </c>
      <c r="AW14" s="3">
        <v>0</v>
      </c>
      <c r="AX14" s="3">
        <v>0</v>
      </c>
      <c r="AY14" s="3">
        <v>1</v>
      </c>
      <c r="AZ14" s="3">
        <v>0</v>
      </c>
      <c r="BA14" s="3">
        <v>0</v>
      </c>
      <c r="BB14" s="3">
        <v>1</v>
      </c>
      <c r="BC14" s="40">
        <f t="shared" si="5"/>
        <v>2</v>
      </c>
      <c r="BD14" s="3">
        <v>1</v>
      </c>
      <c r="BE14" s="3">
        <v>1</v>
      </c>
      <c r="BF14" s="3">
        <v>0</v>
      </c>
      <c r="BG14" s="3">
        <v>1</v>
      </c>
      <c r="BH14" s="3">
        <v>0</v>
      </c>
      <c r="BI14" s="3">
        <v>0</v>
      </c>
      <c r="BJ14" s="3">
        <v>1</v>
      </c>
      <c r="BK14" s="3">
        <v>1</v>
      </c>
      <c r="BL14" s="40">
        <f t="shared" si="6"/>
        <v>5</v>
      </c>
      <c r="BO14" s="22">
        <f t="shared" si="7"/>
        <v>41</v>
      </c>
      <c r="BP14" s="22">
        <f t="shared" si="8"/>
        <v>75.925925925925924</v>
      </c>
    </row>
    <row r="15" spans="1:68" ht="18.75" x14ac:dyDescent="0.3">
      <c r="A15" s="2">
        <v>10</v>
      </c>
      <c r="B15" s="16" t="s">
        <v>54</v>
      </c>
      <c r="C15" s="20" t="s">
        <v>55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9">
        <f t="shared" si="0"/>
        <v>11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9">
        <f t="shared" si="1"/>
        <v>7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9">
        <f t="shared" si="2"/>
        <v>7</v>
      </c>
      <c r="AF15" s="3">
        <v>0</v>
      </c>
      <c r="AG15" s="3">
        <v>0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40">
        <f t="shared" si="3"/>
        <v>5</v>
      </c>
      <c r="AN15" s="3">
        <v>1</v>
      </c>
      <c r="AO15" s="3">
        <v>0</v>
      </c>
      <c r="AP15" s="3">
        <v>1</v>
      </c>
      <c r="AQ15" s="3">
        <v>0</v>
      </c>
      <c r="AR15" s="3">
        <v>1</v>
      </c>
      <c r="AS15" s="3">
        <v>0</v>
      </c>
      <c r="AT15" s="3">
        <v>1</v>
      </c>
      <c r="AU15" s="3">
        <v>1</v>
      </c>
      <c r="AV15" s="40">
        <f t="shared" si="4"/>
        <v>5</v>
      </c>
      <c r="AW15" s="3">
        <v>1</v>
      </c>
      <c r="AX15" s="3">
        <v>0</v>
      </c>
      <c r="AY15" s="3">
        <v>0</v>
      </c>
      <c r="AZ15" s="3">
        <v>1</v>
      </c>
      <c r="BA15" s="3">
        <v>0</v>
      </c>
      <c r="BB15" s="3">
        <v>0</v>
      </c>
      <c r="BC15" s="40">
        <f t="shared" si="5"/>
        <v>2</v>
      </c>
      <c r="BD15" s="3">
        <v>1</v>
      </c>
      <c r="BE15" s="3">
        <v>1</v>
      </c>
      <c r="BF15" s="3">
        <v>1</v>
      </c>
      <c r="BG15" s="3">
        <v>0</v>
      </c>
      <c r="BH15" s="3">
        <v>1</v>
      </c>
      <c r="BI15" s="3">
        <v>0</v>
      </c>
      <c r="BJ15" s="3">
        <v>0</v>
      </c>
      <c r="BK15" s="3">
        <v>1</v>
      </c>
      <c r="BL15" s="40">
        <f t="shared" si="6"/>
        <v>5</v>
      </c>
      <c r="BO15" s="22">
        <f t="shared" si="7"/>
        <v>42</v>
      </c>
      <c r="BP15" s="22">
        <f t="shared" si="8"/>
        <v>77.777777777777786</v>
      </c>
    </row>
    <row r="16" spans="1:68" ht="18.75" x14ac:dyDescent="0.3">
      <c r="A16" s="2">
        <v>11</v>
      </c>
      <c r="B16" s="16" t="s">
        <v>56</v>
      </c>
      <c r="C16" s="20" t="s">
        <v>57</v>
      </c>
      <c r="D16" s="3">
        <v>1</v>
      </c>
      <c r="E16" s="3">
        <v>0</v>
      </c>
      <c r="F16" s="3">
        <v>1</v>
      </c>
      <c r="G16" s="3">
        <v>1</v>
      </c>
      <c r="H16" s="3">
        <v>0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9">
        <f t="shared" ref="O16:O18" si="25">SUM(D16:N16)</f>
        <v>9</v>
      </c>
      <c r="P16" s="3">
        <v>1</v>
      </c>
      <c r="Q16" s="3">
        <v>0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9">
        <f t="shared" ref="W16:W18" si="26">SUM(P16:V16)</f>
        <v>6</v>
      </c>
      <c r="X16" s="3">
        <v>0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9">
        <f t="shared" ref="AE16:AE18" si="27">SUM(X16:AD16)</f>
        <v>6</v>
      </c>
      <c r="AF16" s="3">
        <v>1</v>
      </c>
      <c r="AG16" s="3">
        <v>0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40">
        <f t="shared" ref="AM16:AM18" si="28">SUM(AF16:AL16)</f>
        <v>6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40">
        <f t="shared" si="4"/>
        <v>8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40">
        <f t="shared" si="5"/>
        <v>6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40">
        <f t="shared" si="6"/>
        <v>8</v>
      </c>
      <c r="BO16" s="22">
        <f t="shared" si="7"/>
        <v>49</v>
      </c>
      <c r="BP16" s="22">
        <f t="shared" si="8"/>
        <v>90.740740740740748</v>
      </c>
    </row>
    <row r="17" spans="1:68" ht="18.75" x14ac:dyDescent="0.3">
      <c r="A17" s="2">
        <v>12</v>
      </c>
      <c r="B17" s="16" t="s">
        <v>58</v>
      </c>
      <c r="C17" s="20" t="s">
        <v>59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0</v>
      </c>
      <c r="O17" s="39">
        <f t="shared" si="25"/>
        <v>10</v>
      </c>
      <c r="P17" s="3">
        <v>1</v>
      </c>
      <c r="Q17" s="3">
        <v>1</v>
      </c>
      <c r="R17" s="3">
        <v>1</v>
      </c>
      <c r="S17" s="3">
        <v>1</v>
      </c>
      <c r="T17" s="3">
        <v>0</v>
      </c>
      <c r="U17" s="3">
        <v>1</v>
      </c>
      <c r="V17" s="3">
        <v>1</v>
      </c>
      <c r="W17" s="39">
        <f t="shared" si="26"/>
        <v>6</v>
      </c>
      <c r="X17" s="3">
        <v>1</v>
      </c>
      <c r="Y17" s="3">
        <v>1</v>
      </c>
      <c r="Z17" s="3">
        <v>1</v>
      </c>
      <c r="AA17" s="3">
        <v>1</v>
      </c>
      <c r="AB17" s="3">
        <v>0</v>
      </c>
      <c r="AC17" s="3">
        <v>1</v>
      </c>
      <c r="AD17" s="3">
        <v>1</v>
      </c>
      <c r="AE17" s="39">
        <f t="shared" si="27"/>
        <v>6</v>
      </c>
      <c r="AF17" s="3">
        <v>1</v>
      </c>
      <c r="AG17" s="3">
        <v>1</v>
      </c>
      <c r="AH17" s="3">
        <v>1</v>
      </c>
      <c r="AI17" s="3">
        <v>1</v>
      </c>
      <c r="AJ17" s="3">
        <v>0</v>
      </c>
      <c r="AK17" s="3">
        <v>1</v>
      </c>
      <c r="AL17" s="3">
        <v>1</v>
      </c>
      <c r="AM17" s="40">
        <f t="shared" si="28"/>
        <v>6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40">
        <f t="shared" si="4"/>
        <v>8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40">
        <f t="shared" si="5"/>
        <v>6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40">
        <f t="shared" si="6"/>
        <v>8</v>
      </c>
      <c r="BO17" s="22">
        <f t="shared" si="7"/>
        <v>50</v>
      </c>
      <c r="BP17" s="22">
        <f t="shared" si="8"/>
        <v>92.592592592592595</v>
      </c>
    </row>
    <row r="18" spans="1:68" ht="18.75" x14ac:dyDescent="0.3">
      <c r="A18" s="2">
        <v>13</v>
      </c>
      <c r="B18" s="16" t="s">
        <v>60</v>
      </c>
      <c r="C18" s="20" t="s">
        <v>61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0</v>
      </c>
      <c r="N18" s="3">
        <v>1</v>
      </c>
      <c r="O18" s="39">
        <f t="shared" si="25"/>
        <v>10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0</v>
      </c>
      <c r="V18" s="3">
        <v>1</v>
      </c>
      <c r="W18" s="39">
        <f t="shared" si="26"/>
        <v>6</v>
      </c>
      <c r="X18" s="3">
        <v>1</v>
      </c>
      <c r="Y18" s="3">
        <v>1</v>
      </c>
      <c r="Z18" s="3">
        <v>1</v>
      </c>
      <c r="AA18" s="3">
        <v>1</v>
      </c>
      <c r="AB18" s="3">
        <v>0</v>
      </c>
      <c r="AC18" s="3">
        <v>1</v>
      </c>
      <c r="AD18" s="3">
        <v>1</v>
      </c>
      <c r="AE18" s="39">
        <f t="shared" si="27"/>
        <v>6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40">
        <f t="shared" si="28"/>
        <v>7</v>
      </c>
      <c r="AN18" s="3">
        <v>1</v>
      </c>
      <c r="AO18" s="3">
        <v>1</v>
      </c>
      <c r="AP18" s="3">
        <v>0</v>
      </c>
      <c r="AQ18" s="3">
        <v>1</v>
      </c>
      <c r="AR18" s="3">
        <v>0</v>
      </c>
      <c r="AS18" s="3">
        <v>1</v>
      </c>
      <c r="AT18" s="3">
        <v>0</v>
      </c>
      <c r="AU18" s="3">
        <v>1</v>
      </c>
      <c r="AV18" s="40">
        <f t="shared" si="4"/>
        <v>5</v>
      </c>
      <c r="AW18" s="3">
        <v>0</v>
      </c>
      <c r="AX18" s="3">
        <v>0</v>
      </c>
      <c r="AY18" s="3">
        <v>1</v>
      </c>
      <c r="AZ18" s="3">
        <v>0</v>
      </c>
      <c r="BA18" s="3">
        <v>0</v>
      </c>
      <c r="BB18" s="3">
        <v>1</v>
      </c>
      <c r="BC18" s="40">
        <f t="shared" si="5"/>
        <v>2</v>
      </c>
      <c r="BD18" s="3">
        <v>1</v>
      </c>
      <c r="BE18" s="3">
        <v>1</v>
      </c>
      <c r="BF18" s="3">
        <v>1</v>
      </c>
      <c r="BG18" s="3">
        <v>1</v>
      </c>
      <c r="BH18" s="3">
        <v>0</v>
      </c>
      <c r="BI18" s="3">
        <v>1</v>
      </c>
      <c r="BJ18" s="3">
        <v>0</v>
      </c>
      <c r="BK18" s="3">
        <v>0</v>
      </c>
      <c r="BL18" s="40">
        <f t="shared" si="6"/>
        <v>5</v>
      </c>
      <c r="BO18" s="22">
        <f t="shared" si="7"/>
        <v>41</v>
      </c>
      <c r="BP18" s="22">
        <f t="shared" si="8"/>
        <v>75.925925925925924</v>
      </c>
    </row>
    <row r="19" spans="1:68" ht="18.75" x14ac:dyDescent="0.3">
      <c r="A19" s="2">
        <v>14</v>
      </c>
      <c r="B19" s="16" t="s">
        <v>62</v>
      </c>
      <c r="C19" s="20" t="s">
        <v>63</v>
      </c>
      <c r="D19" s="3">
        <v>1</v>
      </c>
      <c r="E19" s="3">
        <v>0</v>
      </c>
      <c r="F19" s="3">
        <v>1</v>
      </c>
      <c r="G19" s="3">
        <v>1</v>
      </c>
      <c r="H19" s="3">
        <v>0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9">
        <f t="shared" ref="O19" si="29">SUM(D19:N19)</f>
        <v>9</v>
      </c>
      <c r="P19" s="3">
        <v>1</v>
      </c>
      <c r="Q19" s="3">
        <v>0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9">
        <f t="shared" ref="W19" si="30">SUM(P19:V19)</f>
        <v>6</v>
      </c>
      <c r="X19" s="3">
        <v>0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9">
        <f t="shared" ref="AE19" si="31">SUM(X19:AD19)</f>
        <v>6</v>
      </c>
      <c r="AF19" s="3">
        <v>1</v>
      </c>
      <c r="AG19" s="3">
        <v>0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40">
        <f t="shared" ref="AM19" si="32">SUM(AF19:AL19)</f>
        <v>6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40">
        <f t="shared" si="4"/>
        <v>8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40">
        <f t="shared" si="5"/>
        <v>6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40">
        <f t="shared" si="6"/>
        <v>8</v>
      </c>
      <c r="BO19" s="22">
        <f t="shared" si="7"/>
        <v>49</v>
      </c>
      <c r="BP19" s="22">
        <f t="shared" si="8"/>
        <v>90.740740740740748</v>
      </c>
    </row>
    <row r="20" spans="1:68" ht="18.75" x14ac:dyDescent="0.3">
      <c r="A20" s="2">
        <v>15</v>
      </c>
      <c r="B20" s="16" t="s">
        <v>64</v>
      </c>
      <c r="C20" s="20" t="s">
        <v>65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9">
        <f t="shared" si="0"/>
        <v>11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9">
        <f t="shared" si="1"/>
        <v>7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9">
        <f t="shared" si="2"/>
        <v>7</v>
      </c>
      <c r="AF20" s="3">
        <v>1</v>
      </c>
      <c r="AG20" s="3">
        <v>1</v>
      </c>
      <c r="AH20" s="3">
        <v>0</v>
      </c>
      <c r="AI20" s="3">
        <v>0</v>
      </c>
      <c r="AJ20" s="3">
        <v>1</v>
      </c>
      <c r="AK20" s="3">
        <v>1</v>
      </c>
      <c r="AL20" s="3">
        <v>1</v>
      </c>
      <c r="AM20" s="40">
        <f t="shared" si="3"/>
        <v>5</v>
      </c>
      <c r="AN20" s="3">
        <v>1</v>
      </c>
      <c r="AO20" s="3">
        <v>1</v>
      </c>
      <c r="AP20" s="3">
        <v>1</v>
      </c>
      <c r="AQ20" s="3">
        <v>0</v>
      </c>
      <c r="AR20" s="3">
        <v>1</v>
      </c>
      <c r="AS20" s="3">
        <v>0</v>
      </c>
      <c r="AT20" s="3">
        <v>1</v>
      </c>
      <c r="AU20" s="3">
        <v>0</v>
      </c>
      <c r="AV20" s="40">
        <f t="shared" si="4"/>
        <v>5</v>
      </c>
      <c r="AW20" s="3">
        <v>1</v>
      </c>
      <c r="AX20" s="3">
        <v>0</v>
      </c>
      <c r="AY20" s="3">
        <v>0</v>
      </c>
      <c r="AZ20" s="3">
        <v>1</v>
      </c>
      <c r="BA20" s="3">
        <v>0</v>
      </c>
      <c r="BB20" s="3">
        <v>0</v>
      </c>
      <c r="BC20" s="40">
        <f t="shared" si="5"/>
        <v>2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40">
        <f t="shared" si="6"/>
        <v>8</v>
      </c>
      <c r="BO20" s="22">
        <f t="shared" si="7"/>
        <v>45</v>
      </c>
      <c r="BP20" s="22">
        <f t="shared" si="8"/>
        <v>83.333333333333343</v>
      </c>
    </row>
    <row r="21" spans="1:68" ht="18.75" x14ac:dyDescent="0.3">
      <c r="A21" s="2">
        <v>16</v>
      </c>
      <c r="B21" s="16" t="s">
        <v>66</v>
      </c>
      <c r="C21" s="20" t="s">
        <v>67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0</v>
      </c>
      <c r="O21" s="39">
        <f t="shared" ref="O21" si="33">SUM(D21:N21)</f>
        <v>10</v>
      </c>
      <c r="P21" s="3">
        <v>1</v>
      </c>
      <c r="Q21" s="3">
        <v>1</v>
      </c>
      <c r="R21" s="3">
        <v>1</v>
      </c>
      <c r="S21" s="3">
        <v>1</v>
      </c>
      <c r="T21" s="3">
        <v>0</v>
      </c>
      <c r="U21" s="3">
        <v>1</v>
      </c>
      <c r="V21" s="3">
        <v>1</v>
      </c>
      <c r="W21" s="39">
        <f t="shared" ref="W21" si="34">SUM(P21:V21)</f>
        <v>6</v>
      </c>
      <c r="X21" s="3">
        <v>1</v>
      </c>
      <c r="Y21" s="3">
        <v>1</v>
      </c>
      <c r="Z21" s="3">
        <v>1</v>
      </c>
      <c r="AA21" s="3">
        <v>1</v>
      </c>
      <c r="AB21" s="3">
        <v>0</v>
      </c>
      <c r="AC21" s="3">
        <v>1</v>
      </c>
      <c r="AD21" s="3">
        <v>1</v>
      </c>
      <c r="AE21" s="39">
        <f t="shared" ref="AE21" si="35">SUM(X21:AD21)</f>
        <v>6</v>
      </c>
      <c r="AF21" s="3">
        <v>1</v>
      </c>
      <c r="AG21" s="3">
        <v>1</v>
      </c>
      <c r="AH21" s="3">
        <v>1</v>
      </c>
      <c r="AI21" s="3">
        <v>1</v>
      </c>
      <c r="AJ21" s="3">
        <v>0</v>
      </c>
      <c r="AK21" s="3">
        <v>1</v>
      </c>
      <c r="AL21" s="3">
        <v>1</v>
      </c>
      <c r="AM21" s="40">
        <f t="shared" ref="AM21" si="36">SUM(AF21:AL21)</f>
        <v>6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40">
        <f t="shared" si="4"/>
        <v>8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40">
        <f t="shared" si="5"/>
        <v>6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40">
        <f t="shared" si="6"/>
        <v>8</v>
      </c>
      <c r="BO21" s="22">
        <f t="shared" si="7"/>
        <v>50</v>
      </c>
      <c r="BP21" s="22">
        <f t="shared" si="8"/>
        <v>92.592592592592595</v>
      </c>
    </row>
    <row r="22" spans="1:68" ht="18.75" x14ac:dyDescent="0.3">
      <c r="A22" s="2">
        <v>17</v>
      </c>
      <c r="B22" s="16" t="s">
        <v>68</v>
      </c>
      <c r="C22" s="20" t="s">
        <v>69</v>
      </c>
      <c r="D22" s="3">
        <v>1</v>
      </c>
      <c r="E22" s="3">
        <v>0</v>
      </c>
      <c r="F22" s="3">
        <v>1</v>
      </c>
      <c r="G22" s="3">
        <v>1</v>
      </c>
      <c r="H22" s="3">
        <v>0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9">
        <f t="shared" ref="O22:O23" si="37">SUM(D22:N22)</f>
        <v>9</v>
      </c>
      <c r="P22" s="3">
        <v>1</v>
      </c>
      <c r="Q22" s="3">
        <v>0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9">
        <f t="shared" ref="W22:W23" si="38">SUM(P22:V22)</f>
        <v>6</v>
      </c>
      <c r="X22" s="3">
        <v>0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9">
        <f t="shared" ref="AE22:AE23" si="39">SUM(X22:AD22)</f>
        <v>6</v>
      </c>
      <c r="AF22" s="3">
        <v>1</v>
      </c>
      <c r="AG22" s="3">
        <v>0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40">
        <f t="shared" ref="AM22:AM23" si="40">SUM(AF22:AL22)</f>
        <v>6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40">
        <f t="shared" si="4"/>
        <v>8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40">
        <f t="shared" si="5"/>
        <v>6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40">
        <f t="shared" si="6"/>
        <v>8</v>
      </c>
      <c r="BO22" s="22">
        <f t="shared" si="7"/>
        <v>49</v>
      </c>
      <c r="BP22" s="22">
        <f t="shared" si="8"/>
        <v>90.740740740740748</v>
      </c>
    </row>
    <row r="23" spans="1:68" ht="18.75" x14ac:dyDescent="0.3">
      <c r="A23" s="2">
        <v>18</v>
      </c>
      <c r="B23" s="16" t="s">
        <v>70</v>
      </c>
      <c r="C23" s="20" t="s">
        <v>71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0</v>
      </c>
      <c r="N23" s="3">
        <v>1</v>
      </c>
      <c r="O23" s="39">
        <f t="shared" si="37"/>
        <v>10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0</v>
      </c>
      <c r="V23" s="3">
        <v>1</v>
      </c>
      <c r="W23" s="39">
        <f t="shared" si="38"/>
        <v>6</v>
      </c>
      <c r="X23" s="3">
        <v>1</v>
      </c>
      <c r="Y23" s="3">
        <v>1</v>
      </c>
      <c r="Z23" s="3">
        <v>1</v>
      </c>
      <c r="AA23" s="3">
        <v>1</v>
      </c>
      <c r="AB23" s="3">
        <v>0</v>
      </c>
      <c r="AC23" s="3">
        <v>1</v>
      </c>
      <c r="AD23" s="3">
        <v>1</v>
      </c>
      <c r="AE23" s="39">
        <f t="shared" si="39"/>
        <v>6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40">
        <f t="shared" si="40"/>
        <v>7</v>
      </c>
      <c r="AN23" s="3">
        <v>1</v>
      </c>
      <c r="AO23" s="3">
        <v>0</v>
      </c>
      <c r="AP23" s="3">
        <v>1</v>
      </c>
      <c r="AQ23" s="3">
        <v>0</v>
      </c>
      <c r="AR23" s="3">
        <v>1</v>
      </c>
      <c r="AS23" s="3">
        <v>0</v>
      </c>
      <c r="AT23" s="3">
        <v>1</v>
      </c>
      <c r="AU23" s="3">
        <v>1</v>
      </c>
      <c r="AV23" s="40">
        <f t="shared" si="4"/>
        <v>5</v>
      </c>
      <c r="AW23" s="3">
        <v>0</v>
      </c>
      <c r="AX23" s="3">
        <v>0</v>
      </c>
      <c r="AY23" s="3">
        <v>1</v>
      </c>
      <c r="AZ23" s="3">
        <v>0</v>
      </c>
      <c r="BA23" s="3">
        <v>0</v>
      </c>
      <c r="BB23" s="3">
        <v>1</v>
      </c>
      <c r="BC23" s="40">
        <f t="shared" si="5"/>
        <v>2</v>
      </c>
      <c r="BD23" s="3">
        <v>1</v>
      </c>
      <c r="BE23" s="3">
        <v>0</v>
      </c>
      <c r="BF23" s="3">
        <v>1</v>
      </c>
      <c r="BG23" s="3">
        <v>0</v>
      </c>
      <c r="BH23" s="3">
        <v>0</v>
      </c>
      <c r="BI23" s="3">
        <v>1</v>
      </c>
      <c r="BJ23" s="3">
        <v>1</v>
      </c>
      <c r="BK23" s="3">
        <v>1</v>
      </c>
      <c r="BL23" s="40">
        <f t="shared" si="6"/>
        <v>5</v>
      </c>
      <c r="BO23" s="22">
        <f t="shared" si="7"/>
        <v>41</v>
      </c>
      <c r="BP23" s="22">
        <f t="shared" si="8"/>
        <v>75.925925925925924</v>
      </c>
    </row>
    <row r="24" spans="1:68" ht="18.75" x14ac:dyDescent="0.3">
      <c r="A24" s="2">
        <v>19</v>
      </c>
      <c r="B24" s="16" t="s">
        <v>72</v>
      </c>
      <c r="C24" s="20" t="s">
        <v>73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0</v>
      </c>
      <c r="O24" s="39">
        <f t="shared" ref="O24" si="41">SUM(D24:N24)</f>
        <v>10</v>
      </c>
      <c r="P24" s="3">
        <v>1</v>
      </c>
      <c r="Q24" s="3">
        <v>1</v>
      </c>
      <c r="R24" s="3">
        <v>1</v>
      </c>
      <c r="S24" s="3">
        <v>1</v>
      </c>
      <c r="T24" s="3">
        <v>0</v>
      </c>
      <c r="U24" s="3">
        <v>1</v>
      </c>
      <c r="V24" s="3">
        <v>1</v>
      </c>
      <c r="W24" s="39">
        <f t="shared" ref="W24" si="42">SUM(P24:V24)</f>
        <v>6</v>
      </c>
      <c r="X24" s="3">
        <v>1</v>
      </c>
      <c r="Y24" s="3">
        <v>1</v>
      </c>
      <c r="Z24" s="3">
        <v>1</v>
      </c>
      <c r="AA24" s="3">
        <v>1</v>
      </c>
      <c r="AB24" s="3">
        <v>0</v>
      </c>
      <c r="AC24" s="3">
        <v>1</v>
      </c>
      <c r="AD24" s="3">
        <v>1</v>
      </c>
      <c r="AE24" s="39">
        <f t="shared" ref="AE24" si="43">SUM(X24:AD24)</f>
        <v>6</v>
      </c>
      <c r="AF24" s="3">
        <v>1</v>
      </c>
      <c r="AG24" s="3">
        <v>1</v>
      </c>
      <c r="AH24" s="3">
        <v>1</v>
      </c>
      <c r="AI24" s="3">
        <v>1</v>
      </c>
      <c r="AJ24" s="3">
        <v>0</v>
      </c>
      <c r="AK24" s="3">
        <v>1</v>
      </c>
      <c r="AL24" s="3">
        <v>1</v>
      </c>
      <c r="AM24" s="40">
        <f t="shared" ref="AM24" si="44">SUM(AF24:AL24)</f>
        <v>6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40">
        <f t="shared" si="4"/>
        <v>8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40">
        <f t="shared" si="5"/>
        <v>6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40">
        <f t="shared" si="6"/>
        <v>8</v>
      </c>
      <c r="BO24" s="22">
        <f t="shared" si="7"/>
        <v>50</v>
      </c>
      <c r="BP24" s="22">
        <f t="shared" si="8"/>
        <v>92.592592592592595</v>
      </c>
    </row>
    <row r="25" spans="1:68" ht="18.75" x14ac:dyDescent="0.3">
      <c r="A25" s="2">
        <v>20</v>
      </c>
      <c r="B25" s="16" t="s">
        <v>74</v>
      </c>
      <c r="C25" s="20" t="s">
        <v>75</v>
      </c>
      <c r="D25" s="3">
        <v>1</v>
      </c>
      <c r="E25" s="3">
        <v>0</v>
      </c>
      <c r="F25" s="3">
        <v>1</v>
      </c>
      <c r="G25" s="3">
        <v>1</v>
      </c>
      <c r="H25" s="3">
        <v>0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9">
        <f t="shared" ref="O25:O26" si="45">SUM(D25:N25)</f>
        <v>9</v>
      </c>
      <c r="P25" s="3">
        <v>1</v>
      </c>
      <c r="Q25" s="3">
        <v>0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9">
        <f t="shared" ref="W25" si="46">SUM(P25:V25)</f>
        <v>6</v>
      </c>
      <c r="X25" s="3">
        <v>0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9">
        <f t="shared" ref="AE25" si="47">SUM(X25:AD25)</f>
        <v>6</v>
      </c>
      <c r="AF25" s="3">
        <v>1</v>
      </c>
      <c r="AG25" s="3">
        <v>0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40">
        <f t="shared" ref="AM25" si="48">SUM(AF25:AL25)</f>
        <v>6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40">
        <f t="shared" si="4"/>
        <v>8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40">
        <f t="shared" si="5"/>
        <v>6</v>
      </c>
      <c r="BD25" s="3">
        <v>1</v>
      </c>
      <c r="BE25" s="3">
        <v>1</v>
      </c>
      <c r="BF25" s="3">
        <v>1</v>
      </c>
      <c r="BG25" s="3">
        <v>1</v>
      </c>
      <c r="BH25" s="3">
        <v>1</v>
      </c>
      <c r="BI25" s="3">
        <v>1</v>
      </c>
      <c r="BJ25" s="3">
        <v>1</v>
      </c>
      <c r="BK25" s="3">
        <v>1</v>
      </c>
      <c r="BL25" s="40">
        <f t="shared" si="6"/>
        <v>8</v>
      </c>
      <c r="BO25" s="22">
        <f t="shared" si="7"/>
        <v>49</v>
      </c>
      <c r="BP25" s="22">
        <f t="shared" si="8"/>
        <v>90.740740740740748</v>
      </c>
    </row>
    <row r="26" spans="1:68" ht="18.75" x14ac:dyDescent="0.3">
      <c r="A26" s="2">
        <v>21</v>
      </c>
      <c r="B26" s="16" t="s">
        <v>76</v>
      </c>
      <c r="C26" s="20" t="s">
        <v>77</v>
      </c>
      <c r="D26" s="3">
        <v>0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0</v>
      </c>
      <c r="O26" s="39">
        <f t="shared" si="45"/>
        <v>9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9">
        <f t="shared" si="1"/>
        <v>7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9">
        <f t="shared" si="2"/>
        <v>7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40">
        <f t="shared" si="3"/>
        <v>7</v>
      </c>
      <c r="AN26" s="3">
        <v>1</v>
      </c>
      <c r="AO26" s="3">
        <v>1</v>
      </c>
      <c r="AP26" s="3">
        <v>1</v>
      </c>
      <c r="AQ26" s="3">
        <v>0</v>
      </c>
      <c r="AR26" s="3">
        <v>1</v>
      </c>
      <c r="AS26" s="3">
        <v>0</v>
      </c>
      <c r="AT26" s="3">
        <v>1</v>
      </c>
      <c r="AU26" s="3">
        <v>0</v>
      </c>
      <c r="AV26" s="40">
        <f t="shared" si="4"/>
        <v>5</v>
      </c>
      <c r="AW26" s="3">
        <v>1</v>
      </c>
      <c r="AX26" s="3">
        <v>0</v>
      </c>
      <c r="AY26" s="3">
        <v>0</v>
      </c>
      <c r="AZ26" s="3">
        <v>1</v>
      </c>
      <c r="BA26" s="3">
        <v>0</v>
      </c>
      <c r="BB26" s="3">
        <v>0</v>
      </c>
      <c r="BC26" s="40">
        <f t="shared" si="5"/>
        <v>2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40">
        <f t="shared" si="6"/>
        <v>8</v>
      </c>
      <c r="BO26" s="22">
        <f t="shared" si="7"/>
        <v>45</v>
      </c>
      <c r="BP26" s="22">
        <f t="shared" si="8"/>
        <v>83.333333333333343</v>
      </c>
    </row>
    <row r="27" spans="1:68" ht="18" x14ac:dyDescent="0.35">
      <c r="A27" s="2">
        <v>22</v>
      </c>
      <c r="B27" s="16" t="s">
        <v>78</v>
      </c>
      <c r="C27" s="20" t="s">
        <v>79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0</v>
      </c>
      <c r="N27" s="3">
        <v>1</v>
      </c>
      <c r="O27" s="39">
        <f t="shared" ref="O27" si="49">SUM(D27:N27)</f>
        <v>10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0</v>
      </c>
      <c r="V27" s="3">
        <v>1</v>
      </c>
      <c r="W27" s="39">
        <f t="shared" ref="W27" si="50">SUM(P27:V27)</f>
        <v>6</v>
      </c>
      <c r="X27" s="3">
        <v>1</v>
      </c>
      <c r="Y27" s="3">
        <v>1</v>
      </c>
      <c r="Z27" s="3">
        <v>1</v>
      </c>
      <c r="AA27" s="3">
        <v>1</v>
      </c>
      <c r="AB27" s="3">
        <v>0</v>
      </c>
      <c r="AC27" s="3">
        <v>1</v>
      </c>
      <c r="AD27" s="3">
        <v>1</v>
      </c>
      <c r="AE27" s="39">
        <f t="shared" ref="AE27" si="51">SUM(X27:AD27)</f>
        <v>6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1</v>
      </c>
      <c r="AM27" s="40">
        <f t="shared" ref="AM27" si="52">SUM(AF27:AL27)</f>
        <v>7</v>
      </c>
      <c r="AN27" s="3">
        <v>1</v>
      </c>
      <c r="AO27" s="3">
        <v>0</v>
      </c>
      <c r="AP27" s="3">
        <v>1</v>
      </c>
      <c r="AQ27" s="3">
        <v>0</v>
      </c>
      <c r="AR27" s="3">
        <v>1</v>
      </c>
      <c r="AS27" s="3">
        <v>0</v>
      </c>
      <c r="AT27" s="3">
        <v>1</v>
      </c>
      <c r="AU27" s="3">
        <v>1</v>
      </c>
      <c r="AV27" s="40">
        <f t="shared" si="4"/>
        <v>5</v>
      </c>
      <c r="AW27" s="3">
        <v>0</v>
      </c>
      <c r="AX27" s="3">
        <v>0</v>
      </c>
      <c r="AY27" s="3">
        <v>1</v>
      </c>
      <c r="AZ27" s="3">
        <v>0</v>
      </c>
      <c r="BA27" s="3">
        <v>0</v>
      </c>
      <c r="BB27" s="3">
        <v>1</v>
      </c>
      <c r="BC27" s="40">
        <f t="shared" si="5"/>
        <v>2</v>
      </c>
      <c r="BD27" s="3">
        <v>0</v>
      </c>
      <c r="BE27" s="3">
        <v>0</v>
      </c>
      <c r="BF27" s="3">
        <v>0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40">
        <f t="shared" si="6"/>
        <v>5</v>
      </c>
      <c r="BO27" s="22">
        <f t="shared" si="7"/>
        <v>41</v>
      </c>
      <c r="BP27" s="22">
        <f t="shared" si="8"/>
        <v>75.925925925925924</v>
      </c>
    </row>
    <row r="28" spans="1:68" ht="18" x14ac:dyDescent="0.35">
      <c r="A28" s="2">
        <v>23</v>
      </c>
      <c r="B28" s="16" t="s">
        <v>80</v>
      </c>
      <c r="C28" s="20" t="s">
        <v>81</v>
      </c>
      <c r="D28" s="3">
        <v>1</v>
      </c>
      <c r="E28" s="3">
        <v>0</v>
      </c>
      <c r="F28" s="3">
        <v>1</v>
      </c>
      <c r="G28" s="3">
        <v>1</v>
      </c>
      <c r="H28" s="3">
        <v>0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9">
        <f t="shared" ref="O28:O29" si="53">SUM(D28:N28)</f>
        <v>9</v>
      </c>
      <c r="P28" s="3">
        <v>1</v>
      </c>
      <c r="Q28" s="3">
        <v>0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9">
        <f t="shared" ref="W28:W29" si="54">SUM(P28:V28)</f>
        <v>6</v>
      </c>
      <c r="X28" s="3">
        <v>0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9">
        <f t="shared" ref="AE28:AE29" si="55">SUM(X28:AD28)</f>
        <v>6</v>
      </c>
      <c r="AF28" s="3">
        <v>1</v>
      </c>
      <c r="AG28" s="3">
        <v>0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40">
        <f t="shared" ref="AM28:AM29" si="56">SUM(AF28:AL28)</f>
        <v>6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40">
        <f t="shared" si="4"/>
        <v>8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40">
        <f t="shared" si="5"/>
        <v>6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40">
        <f t="shared" si="6"/>
        <v>8</v>
      </c>
      <c r="BO28" s="22">
        <f t="shared" si="7"/>
        <v>49</v>
      </c>
      <c r="BP28" s="22">
        <f t="shared" si="8"/>
        <v>90.740740740740748</v>
      </c>
    </row>
    <row r="29" spans="1:68" ht="18" x14ac:dyDescent="0.35">
      <c r="A29" s="2">
        <v>24</v>
      </c>
      <c r="B29" s="16" t="s">
        <v>82</v>
      </c>
      <c r="C29" s="20" t="s">
        <v>83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0</v>
      </c>
      <c r="O29" s="39">
        <f t="shared" si="53"/>
        <v>10</v>
      </c>
      <c r="P29" s="3">
        <v>1</v>
      </c>
      <c r="Q29" s="3">
        <v>1</v>
      </c>
      <c r="R29" s="3">
        <v>1</v>
      </c>
      <c r="S29" s="3">
        <v>1</v>
      </c>
      <c r="T29" s="3">
        <v>0</v>
      </c>
      <c r="U29" s="3">
        <v>1</v>
      </c>
      <c r="V29" s="3">
        <v>1</v>
      </c>
      <c r="W29" s="39">
        <f t="shared" si="54"/>
        <v>6</v>
      </c>
      <c r="X29" s="3">
        <v>1</v>
      </c>
      <c r="Y29" s="3">
        <v>1</v>
      </c>
      <c r="Z29" s="3">
        <v>1</v>
      </c>
      <c r="AA29" s="3">
        <v>1</v>
      </c>
      <c r="AB29" s="3">
        <v>0</v>
      </c>
      <c r="AC29" s="3">
        <v>1</v>
      </c>
      <c r="AD29" s="3">
        <v>1</v>
      </c>
      <c r="AE29" s="39">
        <f t="shared" si="55"/>
        <v>6</v>
      </c>
      <c r="AF29" s="3">
        <v>1</v>
      </c>
      <c r="AG29" s="3">
        <v>1</v>
      </c>
      <c r="AH29" s="3">
        <v>1</v>
      </c>
      <c r="AI29" s="3">
        <v>1</v>
      </c>
      <c r="AJ29" s="3">
        <v>0</v>
      </c>
      <c r="AK29" s="3">
        <v>1</v>
      </c>
      <c r="AL29" s="3">
        <v>1</v>
      </c>
      <c r="AM29" s="40">
        <f t="shared" si="56"/>
        <v>6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40">
        <f t="shared" si="4"/>
        <v>8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40">
        <f t="shared" si="5"/>
        <v>6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40">
        <f t="shared" si="6"/>
        <v>8</v>
      </c>
      <c r="BO29" s="22">
        <f t="shared" si="7"/>
        <v>50</v>
      </c>
      <c r="BP29" s="22">
        <f t="shared" si="8"/>
        <v>92.592592592592595</v>
      </c>
    </row>
    <row r="30" spans="1:68" ht="18" x14ac:dyDescent="0.35">
      <c r="A30" s="2">
        <v>25</v>
      </c>
      <c r="B30" s="16" t="s">
        <v>84</v>
      </c>
      <c r="C30" s="20" t="s">
        <v>85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9">
        <f t="shared" si="0"/>
        <v>11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9">
        <f t="shared" si="1"/>
        <v>7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9">
        <f t="shared" si="2"/>
        <v>7</v>
      </c>
      <c r="AF30" s="3">
        <v>1</v>
      </c>
      <c r="AG30" s="3">
        <v>1</v>
      </c>
      <c r="AH30" s="3">
        <v>1</v>
      </c>
      <c r="AI30" s="3">
        <v>1</v>
      </c>
      <c r="AJ30" s="3">
        <v>0</v>
      </c>
      <c r="AK30" s="3">
        <v>0</v>
      </c>
      <c r="AL30" s="3">
        <v>1</v>
      </c>
      <c r="AM30" s="40">
        <f t="shared" si="3"/>
        <v>5</v>
      </c>
      <c r="AN30" s="3">
        <v>1</v>
      </c>
      <c r="AO30" s="3">
        <v>1</v>
      </c>
      <c r="AP30" s="3">
        <v>1</v>
      </c>
      <c r="AQ30" s="3">
        <v>0</v>
      </c>
      <c r="AR30" s="3">
        <v>1</v>
      </c>
      <c r="AS30" s="3">
        <v>0</v>
      </c>
      <c r="AT30" s="3">
        <v>1</v>
      </c>
      <c r="AU30" s="3">
        <v>0</v>
      </c>
      <c r="AV30" s="40">
        <f t="shared" si="4"/>
        <v>5</v>
      </c>
      <c r="AW30" s="3">
        <v>0</v>
      </c>
      <c r="AX30" s="3">
        <v>0</v>
      </c>
      <c r="AY30" s="3">
        <v>1</v>
      </c>
      <c r="AZ30" s="3">
        <v>0</v>
      </c>
      <c r="BA30" s="3">
        <v>0</v>
      </c>
      <c r="BB30" s="3">
        <v>1</v>
      </c>
      <c r="BC30" s="40">
        <f t="shared" si="5"/>
        <v>2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L30" s="40">
        <f t="shared" si="6"/>
        <v>8</v>
      </c>
      <c r="BO30" s="22">
        <f t="shared" si="7"/>
        <v>45</v>
      </c>
      <c r="BP30" s="22">
        <f t="shared" si="8"/>
        <v>83.333333333333343</v>
      </c>
    </row>
    <row r="31" spans="1:68" ht="18" x14ac:dyDescent="0.35">
      <c r="A31" s="2">
        <v>26</v>
      </c>
      <c r="B31" s="16" t="s">
        <v>86</v>
      </c>
      <c r="C31" s="20" t="s">
        <v>87</v>
      </c>
      <c r="D31" s="3">
        <v>1</v>
      </c>
      <c r="E31" s="3">
        <v>0</v>
      </c>
      <c r="F31" s="3">
        <v>1</v>
      </c>
      <c r="G31" s="3">
        <v>1</v>
      </c>
      <c r="H31" s="3">
        <v>0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9">
        <f t="shared" ref="O31:O33" si="57">SUM(D31:N31)</f>
        <v>9</v>
      </c>
      <c r="P31" s="3">
        <v>1</v>
      </c>
      <c r="Q31" s="3">
        <v>0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9">
        <f t="shared" ref="W31:W33" si="58">SUM(P31:V31)</f>
        <v>6</v>
      </c>
      <c r="X31" s="3">
        <v>0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9">
        <f t="shared" ref="AE31:AE33" si="59">SUM(X31:AD31)</f>
        <v>6</v>
      </c>
      <c r="AF31" s="3">
        <v>1</v>
      </c>
      <c r="AG31" s="3">
        <v>0</v>
      </c>
      <c r="AH31" s="3">
        <v>1</v>
      </c>
      <c r="AI31" s="3">
        <v>1</v>
      </c>
      <c r="AJ31" s="3">
        <v>1</v>
      </c>
      <c r="AK31" s="3">
        <v>1</v>
      </c>
      <c r="AL31" s="3">
        <v>1</v>
      </c>
      <c r="AM31" s="40">
        <f t="shared" ref="AM31:AM33" si="60">SUM(AF31:AL31)</f>
        <v>6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 s="3">
        <v>1</v>
      </c>
      <c r="AT31" s="3">
        <v>1</v>
      </c>
      <c r="AU31" s="3">
        <v>1</v>
      </c>
      <c r="AV31" s="40">
        <f t="shared" si="4"/>
        <v>8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40">
        <f t="shared" si="5"/>
        <v>6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40">
        <f t="shared" si="6"/>
        <v>8</v>
      </c>
      <c r="BO31" s="22">
        <f t="shared" si="7"/>
        <v>49</v>
      </c>
      <c r="BP31" s="22">
        <f t="shared" si="8"/>
        <v>90.740740740740748</v>
      </c>
    </row>
    <row r="32" spans="1:68" ht="18" x14ac:dyDescent="0.35">
      <c r="A32" s="2">
        <v>27</v>
      </c>
      <c r="B32" s="16" t="s">
        <v>88</v>
      </c>
      <c r="C32" s="20" t="s">
        <v>89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0</v>
      </c>
      <c r="O32" s="39">
        <f t="shared" si="57"/>
        <v>10</v>
      </c>
      <c r="P32" s="3">
        <v>1</v>
      </c>
      <c r="Q32" s="3">
        <v>1</v>
      </c>
      <c r="R32" s="3">
        <v>1</v>
      </c>
      <c r="S32" s="3">
        <v>1</v>
      </c>
      <c r="T32" s="3">
        <v>0</v>
      </c>
      <c r="U32" s="3">
        <v>1</v>
      </c>
      <c r="V32" s="3">
        <v>1</v>
      </c>
      <c r="W32" s="39">
        <f t="shared" si="58"/>
        <v>6</v>
      </c>
      <c r="X32" s="3">
        <v>1</v>
      </c>
      <c r="Y32" s="3">
        <v>1</v>
      </c>
      <c r="Z32" s="3">
        <v>1</v>
      </c>
      <c r="AA32" s="3">
        <v>1</v>
      </c>
      <c r="AB32" s="3">
        <v>0</v>
      </c>
      <c r="AC32" s="3">
        <v>1</v>
      </c>
      <c r="AD32" s="3">
        <v>1</v>
      </c>
      <c r="AE32" s="39">
        <f t="shared" si="59"/>
        <v>6</v>
      </c>
      <c r="AF32" s="3">
        <v>1</v>
      </c>
      <c r="AG32" s="3">
        <v>1</v>
      </c>
      <c r="AH32" s="3">
        <v>1</v>
      </c>
      <c r="AI32" s="3">
        <v>1</v>
      </c>
      <c r="AJ32" s="3">
        <v>0</v>
      </c>
      <c r="AK32" s="3">
        <v>1</v>
      </c>
      <c r="AL32" s="3">
        <v>1</v>
      </c>
      <c r="AM32" s="40">
        <f t="shared" si="60"/>
        <v>6</v>
      </c>
      <c r="AN32" s="3">
        <v>1</v>
      </c>
      <c r="AO32" s="3">
        <v>1</v>
      </c>
      <c r="AP32" s="3">
        <v>1</v>
      </c>
      <c r="AQ32" s="3">
        <v>1</v>
      </c>
      <c r="AR32" s="3">
        <v>1</v>
      </c>
      <c r="AS32" s="3">
        <v>1</v>
      </c>
      <c r="AT32" s="3">
        <v>1</v>
      </c>
      <c r="AU32" s="3">
        <v>1</v>
      </c>
      <c r="AV32" s="40">
        <f t="shared" si="4"/>
        <v>8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40">
        <f t="shared" si="5"/>
        <v>6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40">
        <f t="shared" si="6"/>
        <v>8</v>
      </c>
      <c r="BO32" s="22">
        <f t="shared" si="7"/>
        <v>50</v>
      </c>
      <c r="BP32" s="22">
        <f t="shared" si="8"/>
        <v>92.592592592592595</v>
      </c>
    </row>
    <row r="33" spans="1:68" ht="18" x14ac:dyDescent="0.35">
      <c r="A33" s="2">
        <v>28</v>
      </c>
      <c r="B33" s="16" t="s">
        <v>90</v>
      </c>
      <c r="C33" s="20" t="s">
        <v>91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0</v>
      </c>
      <c r="N33" s="3">
        <v>1</v>
      </c>
      <c r="O33" s="39">
        <f t="shared" si="57"/>
        <v>10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0</v>
      </c>
      <c r="V33" s="3">
        <v>1</v>
      </c>
      <c r="W33" s="39">
        <f t="shared" si="58"/>
        <v>6</v>
      </c>
      <c r="X33" s="3">
        <v>1</v>
      </c>
      <c r="Y33" s="3">
        <v>1</v>
      </c>
      <c r="Z33" s="3">
        <v>1</v>
      </c>
      <c r="AA33" s="3">
        <v>1</v>
      </c>
      <c r="AB33" s="3">
        <v>0</v>
      </c>
      <c r="AC33" s="3">
        <v>1</v>
      </c>
      <c r="AD33" s="3">
        <v>1</v>
      </c>
      <c r="AE33" s="39">
        <f t="shared" si="59"/>
        <v>6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40">
        <f t="shared" si="60"/>
        <v>7</v>
      </c>
      <c r="AN33" s="3">
        <v>1</v>
      </c>
      <c r="AO33" s="3">
        <v>0</v>
      </c>
      <c r="AP33" s="3">
        <v>1</v>
      </c>
      <c r="AQ33" s="3">
        <v>0</v>
      </c>
      <c r="AR33" s="3">
        <v>1</v>
      </c>
      <c r="AS33" s="3">
        <v>0</v>
      </c>
      <c r="AT33" s="3">
        <v>1</v>
      </c>
      <c r="AU33" s="3">
        <v>1</v>
      </c>
      <c r="AV33" s="40">
        <f t="shared" si="4"/>
        <v>5</v>
      </c>
      <c r="AW33" s="3">
        <v>0</v>
      </c>
      <c r="AX33" s="3">
        <v>0</v>
      </c>
      <c r="AY33" s="3">
        <v>1</v>
      </c>
      <c r="AZ33" s="3">
        <v>0</v>
      </c>
      <c r="BA33" s="3">
        <v>0</v>
      </c>
      <c r="BB33" s="3">
        <v>1</v>
      </c>
      <c r="BC33" s="40">
        <f t="shared" si="5"/>
        <v>2</v>
      </c>
      <c r="BD33" s="3">
        <v>1</v>
      </c>
      <c r="BE33" s="3">
        <v>1</v>
      </c>
      <c r="BF33" s="3">
        <v>0</v>
      </c>
      <c r="BG33" s="3">
        <v>1</v>
      </c>
      <c r="BH33" s="3">
        <v>0</v>
      </c>
      <c r="BI33" s="3">
        <v>0</v>
      </c>
      <c r="BJ33" s="3">
        <v>1</v>
      </c>
      <c r="BK33" s="3">
        <v>1</v>
      </c>
      <c r="BL33" s="40">
        <f t="shared" si="6"/>
        <v>5</v>
      </c>
      <c r="BO33" s="22">
        <f t="shared" si="7"/>
        <v>41</v>
      </c>
      <c r="BP33" s="22">
        <f t="shared" si="8"/>
        <v>75.925925925925924</v>
      </c>
    </row>
    <row r="34" spans="1:68" ht="18" x14ac:dyDescent="0.35">
      <c r="A34" s="2">
        <v>29</v>
      </c>
      <c r="B34" s="16" t="s">
        <v>92</v>
      </c>
      <c r="C34" s="20" t="s">
        <v>93</v>
      </c>
      <c r="D34" s="3">
        <v>1</v>
      </c>
      <c r="E34" s="3">
        <v>0</v>
      </c>
      <c r="F34" s="3">
        <v>1</v>
      </c>
      <c r="G34" s="3">
        <v>1</v>
      </c>
      <c r="H34" s="3">
        <v>0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9">
        <f t="shared" ref="O34" si="61">SUM(D34:N34)</f>
        <v>9</v>
      </c>
      <c r="P34" s="3">
        <v>1</v>
      </c>
      <c r="Q34" s="3">
        <v>0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9">
        <f t="shared" ref="W34" si="62">SUM(P34:V34)</f>
        <v>6</v>
      </c>
      <c r="X34" s="3">
        <v>0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9">
        <f t="shared" ref="AE34" si="63">SUM(X34:AD34)</f>
        <v>6</v>
      </c>
      <c r="AF34" s="3">
        <v>1</v>
      </c>
      <c r="AG34" s="3">
        <v>0</v>
      </c>
      <c r="AH34" s="3">
        <v>1</v>
      </c>
      <c r="AI34" s="3">
        <v>1</v>
      </c>
      <c r="AJ34" s="3">
        <v>1</v>
      </c>
      <c r="AK34" s="3">
        <v>1</v>
      </c>
      <c r="AL34" s="3">
        <v>1</v>
      </c>
      <c r="AM34" s="40">
        <f t="shared" ref="AM34" si="64">SUM(AF34:AL34)</f>
        <v>6</v>
      </c>
      <c r="AN34" s="3">
        <v>1</v>
      </c>
      <c r="AO34" s="3">
        <v>1</v>
      </c>
      <c r="AP34" s="3">
        <v>1</v>
      </c>
      <c r="AQ34" s="3">
        <v>1</v>
      </c>
      <c r="AR34" s="3">
        <v>1</v>
      </c>
      <c r="AS34" s="3">
        <v>1</v>
      </c>
      <c r="AT34" s="3">
        <v>1</v>
      </c>
      <c r="AU34" s="3">
        <v>1</v>
      </c>
      <c r="AV34" s="40">
        <f t="shared" si="4"/>
        <v>8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40">
        <f t="shared" si="5"/>
        <v>6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40">
        <f t="shared" si="6"/>
        <v>8</v>
      </c>
      <c r="BO34" s="22">
        <f t="shared" si="7"/>
        <v>49</v>
      </c>
      <c r="BP34" s="22">
        <f t="shared" si="8"/>
        <v>90.740740740740748</v>
      </c>
    </row>
    <row r="35" spans="1:68" ht="18" x14ac:dyDescent="0.35">
      <c r="A35" s="2">
        <v>30</v>
      </c>
      <c r="B35" s="16" t="s">
        <v>94</v>
      </c>
      <c r="C35" s="20" t="s">
        <v>95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9">
        <f t="shared" si="0"/>
        <v>11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9">
        <f t="shared" si="1"/>
        <v>7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9">
        <f t="shared" si="2"/>
        <v>7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0</v>
      </c>
      <c r="AL35" s="3">
        <v>0</v>
      </c>
      <c r="AM35" s="40">
        <f t="shared" si="3"/>
        <v>5</v>
      </c>
      <c r="AN35" s="3">
        <v>1</v>
      </c>
      <c r="AO35" s="3">
        <v>1</v>
      </c>
      <c r="AP35" s="3">
        <v>1</v>
      </c>
      <c r="AQ35" s="3">
        <v>0</v>
      </c>
      <c r="AR35" s="3">
        <v>1</v>
      </c>
      <c r="AS35" s="3">
        <v>0</v>
      </c>
      <c r="AT35" s="3">
        <v>1</v>
      </c>
      <c r="AU35" s="3">
        <v>0</v>
      </c>
      <c r="AV35" s="40">
        <f t="shared" si="4"/>
        <v>5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40">
        <f t="shared" si="5"/>
        <v>6</v>
      </c>
      <c r="BD35" s="3">
        <v>0</v>
      </c>
      <c r="BE35" s="3">
        <v>0</v>
      </c>
      <c r="BF35" s="3">
        <v>0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40">
        <f t="shared" si="6"/>
        <v>5</v>
      </c>
      <c r="BO35" s="22">
        <f t="shared" si="7"/>
        <v>46</v>
      </c>
      <c r="BP35" s="22">
        <f t="shared" si="8"/>
        <v>85.18518518518519</v>
      </c>
    </row>
    <row r="36" spans="1:68" ht="18" x14ac:dyDescent="0.35">
      <c r="A36" s="2">
        <v>31</v>
      </c>
      <c r="B36" s="16" t="s">
        <v>96</v>
      </c>
      <c r="C36" s="20" t="s">
        <v>97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0</v>
      </c>
      <c r="O36" s="39">
        <f t="shared" ref="O36" si="65">SUM(D36:N36)</f>
        <v>10</v>
      </c>
      <c r="P36" s="3">
        <v>1</v>
      </c>
      <c r="Q36" s="3">
        <v>1</v>
      </c>
      <c r="R36" s="3">
        <v>1</v>
      </c>
      <c r="S36" s="3">
        <v>1</v>
      </c>
      <c r="T36" s="3">
        <v>0</v>
      </c>
      <c r="U36" s="3">
        <v>1</v>
      </c>
      <c r="V36" s="3">
        <v>1</v>
      </c>
      <c r="W36" s="39">
        <f t="shared" ref="W36" si="66">SUM(P36:V36)</f>
        <v>6</v>
      </c>
      <c r="X36" s="3">
        <v>1</v>
      </c>
      <c r="Y36" s="3">
        <v>1</v>
      </c>
      <c r="Z36" s="3">
        <v>1</v>
      </c>
      <c r="AA36" s="3">
        <v>1</v>
      </c>
      <c r="AB36" s="3">
        <v>0</v>
      </c>
      <c r="AC36" s="3">
        <v>1</v>
      </c>
      <c r="AD36" s="3">
        <v>1</v>
      </c>
      <c r="AE36" s="39">
        <f t="shared" ref="AE36" si="67">SUM(X36:AD36)</f>
        <v>6</v>
      </c>
      <c r="AF36" s="3">
        <v>1</v>
      </c>
      <c r="AG36" s="3">
        <v>1</v>
      </c>
      <c r="AH36" s="3">
        <v>1</v>
      </c>
      <c r="AI36" s="3">
        <v>1</v>
      </c>
      <c r="AJ36" s="3">
        <v>0</v>
      </c>
      <c r="AK36" s="3">
        <v>1</v>
      </c>
      <c r="AL36" s="3">
        <v>1</v>
      </c>
      <c r="AM36" s="40">
        <f t="shared" ref="AM36" si="68">SUM(AF36:AL36)</f>
        <v>6</v>
      </c>
      <c r="AN36" s="3">
        <v>1</v>
      </c>
      <c r="AO36" s="3">
        <v>1</v>
      </c>
      <c r="AP36" s="3">
        <v>1</v>
      </c>
      <c r="AQ36" s="3">
        <v>1</v>
      </c>
      <c r="AR36" s="3">
        <v>1</v>
      </c>
      <c r="AS36" s="3">
        <v>1</v>
      </c>
      <c r="AT36" s="3">
        <v>1</v>
      </c>
      <c r="AU36" s="3">
        <v>1</v>
      </c>
      <c r="AV36" s="40">
        <f t="shared" si="4"/>
        <v>8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40">
        <f t="shared" si="5"/>
        <v>6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40">
        <f t="shared" si="6"/>
        <v>8</v>
      </c>
      <c r="BO36" s="22">
        <f t="shared" si="7"/>
        <v>50</v>
      </c>
      <c r="BP36" s="22">
        <f t="shared" si="8"/>
        <v>92.592592592592595</v>
      </c>
    </row>
    <row r="37" spans="1:68" ht="18" x14ac:dyDescent="0.35">
      <c r="A37" s="2">
        <v>32</v>
      </c>
      <c r="B37" s="16" t="s">
        <v>98</v>
      </c>
      <c r="C37" s="20" t="s">
        <v>99</v>
      </c>
      <c r="D37" s="3">
        <v>1</v>
      </c>
      <c r="E37" s="3">
        <v>0</v>
      </c>
      <c r="F37" s="3">
        <v>1</v>
      </c>
      <c r="G37" s="3">
        <v>1</v>
      </c>
      <c r="H37" s="3">
        <v>0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9">
        <f t="shared" ref="O37:O38" si="69">SUM(D37:N37)</f>
        <v>9</v>
      </c>
      <c r="P37" s="3">
        <v>1</v>
      </c>
      <c r="Q37" s="3">
        <v>0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9">
        <f t="shared" ref="W37" si="70">SUM(P37:V37)</f>
        <v>6</v>
      </c>
      <c r="X37" s="3">
        <v>0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9">
        <f t="shared" ref="AE37" si="71">SUM(X37:AD37)</f>
        <v>6</v>
      </c>
      <c r="AF37" s="3">
        <v>1</v>
      </c>
      <c r="AG37" s="3">
        <v>0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40">
        <f t="shared" ref="AM37" si="72">SUM(AF37:AL37)</f>
        <v>6</v>
      </c>
      <c r="AN37" s="3">
        <v>1</v>
      </c>
      <c r="AO37" s="3">
        <v>1</v>
      </c>
      <c r="AP37" s="3">
        <v>1</v>
      </c>
      <c r="AQ37" s="3">
        <v>1</v>
      </c>
      <c r="AR37" s="3">
        <v>1</v>
      </c>
      <c r="AS37" s="3">
        <v>1</v>
      </c>
      <c r="AT37" s="3">
        <v>1</v>
      </c>
      <c r="AU37" s="3">
        <v>1</v>
      </c>
      <c r="AV37" s="40">
        <f t="shared" ref="AV37:AV68" si="73">SUM(AN37:AU37)</f>
        <v>8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40">
        <f t="shared" ref="BC37:BC68" si="74">SUM(AW37:BB37)</f>
        <v>6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L37" s="40">
        <f t="shared" ref="BL37:BL68" si="75">SUM(BD37:BK37)</f>
        <v>8</v>
      </c>
      <c r="BO37" s="22">
        <f t="shared" ref="BO37:BO70" si="76">O37+W37+AE37+AM37+AV37+BC37+BL37</f>
        <v>49</v>
      </c>
      <c r="BP37" s="22">
        <f t="shared" si="8"/>
        <v>90.740740740740748</v>
      </c>
    </row>
    <row r="38" spans="1:68" ht="18" x14ac:dyDescent="0.35">
      <c r="A38" s="2">
        <v>33</v>
      </c>
      <c r="B38" s="16" t="s">
        <v>100</v>
      </c>
      <c r="C38" s="20" t="s">
        <v>101</v>
      </c>
      <c r="D38" s="3">
        <v>0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0</v>
      </c>
      <c r="O38" s="39">
        <f t="shared" si="69"/>
        <v>9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9">
        <f t="shared" ref="W38:W70" si="77">SUM(P38:V38)</f>
        <v>7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9">
        <f t="shared" ref="AE38:AE70" si="78">SUM(X38:AD38)</f>
        <v>7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40">
        <f t="shared" ref="AM38:AM70" si="79">SUM(AF38:AL38)</f>
        <v>7</v>
      </c>
      <c r="AN38" s="3">
        <v>1</v>
      </c>
      <c r="AO38" s="3">
        <v>0</v>
      </c>
      <c r="AP38" s="3">
        <v>1</v>
      </c>
      <c r="AQ38" s="3">
        <v>0</v>
      </c>
      <c r="AR38" s="3">
        <v>1</v>
      </c>
      <c r="AS38" s="3">
        <v>0</v>
      </c>
      <c r="AT38" s="3">
        <v>1</v>
      </c>
      <c r="AU38" s="3">
        <v>1</v>
      </c>
      <c r="AV38" s="40">
        <f t="shared" si="73"/>
        <v>5</v>
      </c>
      <c r="AW38" s="3">
        <v>0</v>
      </c>
      <c r="AX38" s="3">
        <v>0</v>
      </c>
      <c r="AY38" s="3">
        <v>1</v>
      </c>
      <c r="AZ38" s="3">
        <v>0</v>
      </c>
      <c r="BA38" s="3">
        <v>0</v>
      </c>
      <c r="BB38" s="3">
        <v>1</v>
      </c>
      <c r="BC38" s="40">
        <f t="shared" si="74"/>
        <v>2</v>
      </c>
      <c r="BD38" s="3">
        <v>1</v>
      </c>
      <c r="BE38" s="3">
        <v>1</v>
      </c>
      <c r="BF38" s="3">
        <v>0</v>
      </c>
      <c r="BG38" s="3">
        <v>1</v>
      </c>
      <c r="BH38" s="3">
        <v>0</v>
      </c>
      <c r="BI38" s="3">
        <v>0</v>
      </c>
      <c r="BJ38" s="3">
        <v>1</v>
      </c>
      <c r="BK38" s="3">
        <v>1</v>
      </c>
      <c r="BL38" s="40">
        <f t="shared" si="75"/>
        <v>5</v>
      </c>
      <c r="BO38" s="22">
        <f t="shared" si="76"/>
        <v>42</v>
      </c>
      <c r="BP38" s="22">
        <f t="shared" si="8"/>
        <v>77.777777777777786</v>
      </c>
    </row>
    <row r="39" spans="1:68" ht="18" x14ac:dyDescent="0.35">
      <c r="A39" s="2">
        <v>34</v>
      </c>
      <c r="B39" s="16" t="s">
        <v>102</v>
      </c>
      <c r="C39" s="20" t="s">
        <v>103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0</v>
      </c>
      <c r="N39" s="3">
        <v>1</v>
      </c>
      <c r="O39" s="39">
        <f t="shared" ref="O39:O70" si="80">SUM(D39:N39)</f>
        <v>10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0</v>
      </c>
      <c r="V39" s="3">
        <v>1</v>
      </c>
      <c r="W39" s="39">
        <f t="shared" si="77"/>
        <v>6</v>
      </c>
      <c r="X39" s="3">
        <v>1</v>
      </c>
      <c r="Y39" s="3">
        <v>1</v>
      </c>
      <c r="Z39" s="3">
        <v>1</v>
      </c>
      <c r="AA39" s="3">
        <v>1</v>
      </c>
      <c r="AB39" s="3">
        <v>0</v>
      </c>
      <c r="AC39" s="3">
        <v>1</v>
      </c>
      <c r="AD39" s="3">
        <v>1</v>
      </c>
      <c r="AE39" s="39">
        <f t="shared" si="78"/>
        <v>6</v>
      </c>
      <c r="AF39" s="3">
        <v>1</v>
      </c>
      <c r="AG39" s="3">
        <v>1</v>
      </c>
      <c r="AH39" s="3">
        <v>1</v>
      </c>
      <c r="AI39" s="3">
        <v>1</v>
      </c>
      <c r="AJ39" s="3">
        <v>1</v>
      </c>
      <c r="AK39" s="3">
        <v>1</v>
      </c>
      <c r="AL39" s="3">
        <v>1</v>
      </c>
      <c r="AM39" s="40">
        <f t="shared" si="79"/>
        <v>7</v>
      </c>
      <c r="AN39" s="3">
        <v>1</v>
      </c>
      <c r="AO39" s="3">
        <v>1</v>
      </c>
      <c r="AP39" s="3">
        <v>1</v>
      </c>
      <c r="AQ39" s="3">
        <v>0</v>
      </c>
      <c r="AR39" s="3">
        <v>1</v>
      </c>
      <c r="AS39" s="3">
        <v>0</v>
      </c>
      <c r="AT39" s="3">
        <v>1</v>
      </c>
      <c r="AU39" s="3">
        <v>0</v>
      </c>
      <c r="AV39" s="40">
        <f t="shared" si="73"/>
        <v>5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40">
        <f t="shared" si="74"/>
        <v>6</v>
      </c>
      <c r="BD39" s="3">
        <v>1</v>
      </c>
      <c r="BE39" s="3">
        <v>1</v>
      </c>
      <c r="BF39" s="3">
        <v>1</v>
      </c>
      <c r="BG39" s="3">
        <v>0</v>
      </c>
      <c r="BH39" s="3">
        <v>1</v>
      </c>
      <c r="BI39" s="3">
        <v>0</v>
      </c>
      <c r="BJ39" s="3">
        <v>0</v>
      </c>
      <c r="BK39" s="3">
        <v>1</v>
      </c>
      <c r="BL39" s="40">
        <f t="shared" si="75"/>
        <v>5</v>
      </c>
      <c r="BO39" s="22">
        <f t="shared" si="76"/>
        <v>45</v>
      </c>
      <c r="BP39" s="22">
        <f t="shared" si="8"/>
        <v>83.333333333333343</v>
      </c>
    </row>
    <row r="40" spans="1:68" ht="18" x14ac:dyDescent="0.35">
      <c r="A40" s="2">
        <v>35</v>
      </c>
      <c r="B40" s="16" t="s">
        <v>104</v>
      </c>
      <c r="C40" s="20" t="s">
        <v>105</v>
      </c>
      <c r="D40" s="3">
        <v>1</v>
      </c>
      <c r="E40" s="3">
        <v>0</v>
      </c>
      <c r="F40" s="3">
        <v>1</v>
      </c>
      <c r="G40" s="3">
        <v>1</v>
      </c>
      <c r="H40" s="3">
        <v>0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9">
        <f t="shared" si="80"/>
        <v>9</v>
      </c>
      <c r="P40" s="3">
        <v>1</v>
      </c>
      <c r="Q40" s="3">
        <v>0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39">
        <f t="shared" si="77"/>
        <v>6</v>
      </c>
      <c r="X40" s="3">
        <v>0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9">
        <f t="shared" si="78"/>
        <v>6</v>
      </c>
      <c r="AF40" s="3">
        <v>1</v>
      </c>
      <c r="AG40" s="3">
        <v>0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40">
        <f t="shared" si="79"/>
        <v>6</v>
      </c>
      <c r="AN40" s="3">
        <v>1</v>
      </c>
      <c r="AO40" s="3">
        <v>1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40">
        <f t="shared" si="73"/>
        <v>8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40">
        <f t="shared" si="74"/>
        <v>6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L40" s="40">
        <f t="shared" si="75"/>
        <v>8</v>
      </c>
      <c r="BO40" s="22">
        <f t="shared" si="76"/>
        <v>49</v>
      </c>
      <c r="BP40" s="22">
        <f t="shared" si="8"/>
        <v>90.740740740740748</v>
      </c>
    </row>
    <row r="41" spans="1:68" ht="18" x14ac:dyDescent="0.35">
      <c r="A41" s="2">
        <v>36</v>
      </c>
      <c r="B41" s="16" t="s">
        <v>106</v>
      </c>
      <c r="C41" s="20" t="s">
        <v>107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0</v>
      </c>
      <c r="O41" s="39">
        <f t="shared" si="80"/>
        <v>10</v>
      </c>
      <c r="P41" s="3">
        <v>1</v>
      </c>
      <c r="Q41" s="3">
        <v>1</v>
      </c>
      <c r="R41" s="3">
        <v>1</v>
      </c>
      <c r="S41" s="3">
        <v>1</v>
      </c>
      <c r="T41" s="3">
        <v>0</v>
      </c>
      <c r="U41" s="3">
        <v>1</v>
      </c>
      <c r="V41" s="3">
        <v>1</v>
      </c>
      <c r="W41" s="39">
        <f t="shared" si="77"/>
        <v>6</v>
      </c>
      <c r="X41" s="3">
        <v>1</v>
      </c>
      <c r="Y41" s="3">
        <v>1</v>
      </c>
      <c r="Z41" s="3">
        <v>1</v>
      </c>
      <c r="AA41" s="3">
        <v>1</v>
      </c>
      <c r="AB41" s="3">
        <v>0</v>
      </c>
      <c r="AC41" s="3">
        <v>1</v>
      </c>
      <c r="AD41" s="3">
        <v>1</v>
      </c>
      <c r="AE41" s="39">
        <f t="shared" si="78"/>
        <v>6</v>
      </c>
      <c r="AF41" s="3">
        <v>1</v>
      </c>
      <c r="AG41" s="3">
        <v>1</v>
      </c>
      <c r="AH41" s="3">
        <v>1</v>
      </c>
      <c r="AI41" s="3">
        <v>1</v>
      </c>
      <c r="AJ41" s="3">
        <v>0</v>
      </c>
      <c r="AK41" s="3">
        <v>1</v>
      </c>
      <c r="AL41" s="3">
        <v>1</v>
      </c>
      <c r="AM41" s="40">
        <f t="shared" si="79"/>
        <v>6</v>
      </c>
      <c r="AN41" s="3">
        <v>1</v>
      </c>
      <c r="AO41" s="3">
        <v>1</v>
      </c>
      <c r="AP41" s="3">
        <v>1</v>
      </c>
      <c r="AQ41" s="3">
        <v>1</v>
      </c>
      <c r="AR41" s="3">
        <v>1</v>
      </c>
      <c r="AS41" s="3">
        <v>1</v>
      </c>
      <c r="AT41" s="3">
        <v>1</v>
      </c>
      <c r="AU41" s="3">
        <v>1</v>
      </c>
      <c r="AV41" s="40">
        <f t="shared" si="73"/>
        <v>8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40">
        <f t="shared" si="74"/>
        <v>6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>
        <v>1</v>
      </c>
      <c r="BJ41" s="3">
        <v>1</v>
      </c>
      <c r="BK41" s="3">
        <v>1</v>
      </c>
      <c r="BL41" s="40">
        <f t="shared" si="75"/>
        <v>8</v>
      </c>
      <c r="BO41" s="22">
        <f t="shared" si="76"/>
        <v>50</v>
      </c>
      <c r="BP41" s="22">
        <f t="shared" si="8"/>
        <v>92.592592592592595</v>
      </c>
    </row>
    <row r="42" spans="1:68" ht="18" x14ac:dyDescent="0.35">
      <c r="A42" s="2">
        <v>37</v>
      </c>
      <c r="B42" s="16" t="s">
        <v>108</v>
      </c>
      <c r="C42" s="20" t="s">
        <v>109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9">
        <f t="shared" si="80"/>
        <v>11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9">
        <f t="shared" si="77"/>
        <v>7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9">
        <f t="shared" si="78"/>
        <v>7</v>
      </c>
      <c r="AF42" s="3">
        <v>1</v>
      </c>
      <c r="AG42" s="3">
        <v>1</v>
      </c>
      <c r="AH42" s="3">
        <v>1</v>
      </c>
      <c r="AI42" s="3">
        <v>0</v>
      </c>
      <c r="AJ42" s="3">
        <v>0</v>
      </c>
      <c r="AK42" s="3">
        <v>1</v>
      </c>
      <c r="AL42" s="3">
        <v>1</v>
      </c>
      <c r="AM42" s="40">
        <f t="shared" si="79"/>
        <v>5</v>
      </c>
      <c r="AN42" s="3">
        <v>1</v>
      </c>
      <c r="AO42" s="3">
        <v>0</v>
      </c>
      <c r="AP42" s="3">
        <v>1</v>
      </c>
      <c r="AQ42" s="3">
        <v>0</v>
      </c>
      <c r="AR42" s="3">
        <v>1</v>
      </c>
      <c r="AS42" s="3">
        <v>0</v>
      </c>
      <c r="AT42" s="3">
        <v>1</v>
      </c>
      <c r="AU42" s="3">
        <v>1</v>
      </c>
      <c r="AV42" s="40">
        <f t="shared" si="73"/>
        <v>5</v>
      </c>
      <c r="AW42" s="3">
        <v>0</v>
      </c>
      <c r="AX42" s="3">
        <v>0</v>
      </c>
      <c r="AY42" s="3">
        <v>1</v>
      </c>
      <c r="AZ42" s="3">
        <v>0</v>
      </c>
      <c r="BA42" s="3">
        <v>0</v>
      </c>
      <c r="BB42" s="3">
        <v>1</v>
      </c>
      <c r="BC42" s="40">
        <f t="shared" si="74"/>
        <v>2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3">
        <v>1</v>
      </c>
      <c r="BK42" s="3">
        <v>1</v>
      </c>
      <c r="BL42" s="40">
        <f t="shared" si="75"/>
        <v>8</v>
      </c>
      <c r="BO42" s="22">
        <f t="shared" si="76"/>
        <v>45</v>
      </c>
      <c r="BP42" s="22">
        <f t="shared" si="8"/>
        <v>83.333333333333343</v>
      </c>
    </row>
    <row r="43" spans="1:68" ht="18" x14ac:dyDescent="0.35">
      <c r="A43" s="2">
        <v>38</v>
      </c>
      <c r="B43" s="16" t="s">
        <v>110</v>
      </c>
      <c r="C43" s="20" t="s">
        <v>111</v>
      </c>
      <c r="D43" s="3">
        <v>1</v>
      </c>
      <c r="E43" s="3">
        <v>0</v>
      </c>
      <c r="F43" s="3">
        <v>1</v>
      </c>
      <c r="G43" s="3">
        <v>1</v>
      </c>
      <c r="H43" s="3">
        <v>0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9">
        <f t="shared" si="80"/>
        <v>9</v>
      </c>
      <c r="P43" s="3">
        <v>1</v>
      </c>
      <c r="Q43" s="3">
        <v>0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9">
        <f t="shared" si="77"/>
        <v>6</v>
      </c>
      <c r="X43" s="3">
        <v>0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1</v>
      </c>
      <c r="AE43" s="39">
        <f t="shared" si="78"/>
        <v>6</v>
      </c>
      <c r="AF43" s="3">
        <v>1</v>
      </c>
      <c r="AG43" s="3">
        <v>0</v>
      </c>
      <c r="AH43" s="3">
        <v>1</v>
      </c>
      <c r="AI43" s="3">
        <v>1</v>
      </c>
      <c r="AJ43" s="3">
        <v>1</v>
      </c>
      <c r="AK43" s="3">
        <v>1</v>
      </c>
      <c r="AL43" s="3">
        <v>1</v>
      </c>
      <c r="AM43" s="40">
        <f t="shared" si="79"/>
        <v>6</v>
      </c>
      <c r="AN43" s="3">
        <v>1</v>
      </c>
      <c r="AO43" s="3">
        <v>1</v>
      </c>
      <c r="AP43" s="3">
        <v>1</v>
      </c>
      <c r="AQ43" s="3">
        <v>1</v>
      </c>
      <c r="AR43" s="3">
        <v>1</v>
      </c>
      <c r="AS43" s="3">
        <v>1</v>
      </c>
      <c r="AT43" s="3">
        <v>1</v>
      </c>
      <c r="AU43" s="3">
        <v>1</v>
      </c>
      <c r="AV43" s="40">
        <f t="shared" si="73"/>
        <v>8</v>
      </c>
      <c r="AW43" s="3">
        <v>1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 s="40">
        <f t="shared" si="74"/>
        <v>6</v>
      </c>
      <c r="BD43" s="3">
        <v>1</v>
      </c>
      <c r="BE43" s="3">
        <v>1</v>
      </c>
      <c r="BF43" s="3">
        <v>1</v>
      </c>
      <c r="BG43" s="3">
        <v>1</v>
      </c>
      <c r="BH43" s="3">
        <v>1</v>
      </c>
      <c r="BI43" s="3">
        <v>1</v>
      </c>
      <c r="BJ43" s="3">
        <v>1</v>
      </c>
      <c r="BK43" s="3">
        <v>1</v>
      </c>
      <c r="BL43" s="40">
        <f t="shared" si="75"/>
        <v>8</v>
      </c>
      <c r="BO43" s="22">
        <f t="shared" si="76"/>
        <v>49</v>
      </c>
      <c r="BP43" s="22">
        <f t="shared" si="8"/>
        <v>90.740740740740748</v>
      </c>
    </row>
    <row r="44" spans="1:68" ht="18" x14ac:dyDescent="0.35">
      <c r="A44" s="2">
        <v>39</v>
      </c>
      <c r="B44" s="16" t="s">
        <v>112</v>
      </c>
      <c r="C44" s="20" t="s">
        <v>113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0</v>
      </c>
      <c r="O44" s="39">
        <f t="shared" si="80"/>
        <v>10</v>
      </c>
      <c r="P44" s="3">
        <v>1</v>
      </c>
      <c r="Q44" s="3">
        <v>1</v>
      </c>
      <c r="R44" s="3">
        <v>1</v>
      </c>
      <c r="S44" s="3">
        <v>1</v>
      </c>
      <c r="T44" s="3">
        <v>0</v>
      </c>
      <c r="U44" s="3">
        <v>1</v>
      </c>
      <c r="V44" s="3">
        <v>1</v>
      </c>
      <c r="W44" s="39">
        <f t="shared" si="77"/>
        <v>6</v>
      </c>
      <c r="X44" s="3">
        <v>1</v>
      </c>
      <c r="Y44" s="3">
        <v>1</v>
      </c>
      <c r="Z44" s="3">
        <v>1</v>
      </c>
      <c r="AA44" s="3">
        <v>1</v>
      </c>
      <c r="AB44" s="3">
        <v>0</v>
      </c>
      <c r="AC44" s="3">
        <v>1</v>
      </c>
      <c r="AD44" s="3">
        <v>1</v>
      </c>
      <c r="AE44" s="39">
        <f t="shared" si="78"/>
        <v>6</v>
      </c>
      <c r="AF44" s="3">
        <v>1</v>
      </c>
      <c r="AG44" s="3">
        <v>1</v>
      </c>
      <c r="AH44" s="3">
        <v>1</v>
      </c>
      <c r="AI44" s="3">
        <v>1</v>
      </c>
      <c r="AJ44" s="3">
        <v>0</v>
      </c>
      <c r="AK44" s="3">
        <v>1</v>
      </c>
      <c r="AL44" s="3">
        <v>1</v>
      </c>
      <c r="AM44" s="40">
        <f t="shared" si="79"/>
        <v>6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40">
        <f t="shared" si="73"/>
        <v>8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40">
        <f t="shared" si="74"/>
        <v>6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40">
        <f t="shared" si="75"/>
        <v>8</v>
      </c>
      <c r="BO44" s="22">
        <f t="shared" si="76"/>
        <v>50</v>
      </c>
      <c r="BP44" s="22">
        <f t="shared" si="8"/>
        <v>92.592592592592595</v>
      </c>
    </row>
    <row r="45" spans="1:68" ht="18" x14ac:dyDescent="0.35">
      <c r="A45" s="2">
        <v>40</v>
      </c>
      <c r="B45" s="16" t="s">
        <v>114</v>
      </c>
      <c r="C45" s="20" t="s">
        <v>115</v>
      </c>
      <c r="D45" s="3">
        <v>0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0</v>
      </c>
      <c r="O45" s="39">
        <f t="shared" si="80"/>
        <v>9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9">
        <f t="shared" si="77"/>
        <v>7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9">
        <f t="shared" si="78"/>
        <v>7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40">
        <f t="shared" si="79"/>
        <v>7</v>
      </c>
      <c r="AN45" s="3">
        <v>1</v>
      </c>
      <c r="AO45" s="3">
        <v>0</v>
      </c>
      <c r="AP45" s="3">
        <v>1</v>
      </c>
      <c r="AQ45" s="3">
        <v>0</v>
      </c>
      <c r="AR45" s="3">
        <v>1</v>
      </c>
      <c r="AS45" s="3">
        <v>0</v>
      </c>
      <c r="AT45" s="3">
        <v>1</v>
      </c>
      <c r="AU45" s="3">
        <v>1</v>
      </c>
      <c r="AV45" s="40">
        <f t="shared" si="73"/>
        <v>5</v>
      </c>
      <c r="AW45" s="3">
        <v>0</v>
      </c>
      <c r="AX45" s="3">
        <v>0</v>
      </c>
      <c r="AY45" s="3">
        <v>1</v>
      </c>
      <c r="AZ45" s="3">
        <v>0</v>
      </c>
      <c r="BA45" s="3">
        <v>0</v>
      </c>
      <c r="BB45" s="3">
        <v>1</v>
      </c>
      <c r="BC45" s="40">
        <f t="shared" si="74"/>
        <v>2</v>
      </c>
      <c r="BD45" s="3">
        <v>0</v>
      </c>
      <c r="BE45" s="3">
        <v>0</v>
      </c>
      <c r="BF45" s="3">
        <v>0</v>
      </c>
      <c r="BG45" s="3">
        <v>1</v>
      </c>
      <c r="BH45" s="3">
        <v>1</v>
      </c>
      <c r="BI45" s="3">
        <v>1</v>
      </c>
      <c r="BJ45" s="3">
        <v>1</v>
      </c>
      <c r="BK45" s="3">
        <v>1</v>
      </c>
      <c r="BL45" s="40">
        <f t="shared" si="75"/>
        <v>5</v>
      </c>
      <c r="BO45" s="22">
        <f t="shared" si="76"/>
        <v>42</v>
      </c>
      <c r="BP45" s="22">
        <f t="shared" si="8"/>
        <v>77.777777777777786</v>
      </c>
    </row>
    <row r="46" spans="1:68" ht="18" x14ac:dyDescent="0.35">
      <c r="A46" s="2">
        <v>41</v>
      </c>
      <c r="B46" s="16" t="s">
        <v>116</v>
      </c>
      <c r="C46" s="20" t="s">
        <v>117</v>
      </c>
      <c r="D46" s="3">
        <v>1</v>
      </c>
      <c r="E46" s="3">
        <v>0</v>
      </c>
      <c r="F46" s="3">
        <v>1</v>
      </c>
      <c r="G46" s="3">
        <v>1</v>
      </c>
      <c r="H46" s="3">
        <v>0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9">
        <f t="shared" si="80"/>
        <v>9</v>
      </c>
      <c r="P46" s="3">
        <v>1</v>
      </c>
      <c r="Q46" s="3">
        <v>0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9">
        <f t="shared" si="77"/>
        <v>6</v>
      </c>
      <c r="X46" s="3">
        <v>0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9">
        <f t="shared" si="78"/>
        <v>6</v>
      </c>
      <c r="AF46" s="3">
        <v>1</v>
      </c>
      <c r="AG46" s="3">
        <v>0</v>
      </c>
      <c r="AH46" s="3">
        <v>1</v>
      </c>
      <c r="AI46" s="3">
        <v>1</v>
      </c>
      <c r="AJ46" s="3">
        <v>1</v>
      </c>
      <c r="AK46" s="3">
        <v>1</v>
      </c>
      <c r="AL46" s="3">
        <v>1</v>
      </c>
      <c r="AM46" s="40">
        <f t="shared" si="79"/>
        <v>6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  <c r="AU46" s="3">
        <v>1</v>
      </c>
      <c r="AV46" s="40">
        <f t="shared" si="73"/>
        <v>8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40">
        <f t="shared" si="74"/>
        <v>6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40">
        <f t="shared" si="75"/>
        <v>8</v>
      </c>
      <c r="BO46" s="22">
        <f t="shared" si="76"/>
        <v>49</v>
      </c>
      <c r="BP46" s="22">
        <f t="shared" si="8"/>
        <v>90.740740740740748</v>
      </c>
    </row>
    <row r="47" spans="1:68" ht="18" x14ac:dyDescent="0.35">
      <c r="A47" s="2">
        <v>42</v>
      </c>
      <c r="B47" s="16" t="s">
        <v>118</v>
      </c>
      <c r="C47" s="20" t="s">
        <v>119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0</v>
      </c>
      <c r="O47" s="39">
        <f t="shared" si="80"/>
        <v>10</v>
      </c>
      <c r="P47" s="3">
        <v>1</v>
      </c>
      <c r="Q47" s="3">
        <v>1</v>
      </c>
      <c r="R47" s="3">
        <v>1</v>
      </c>
      <c r="S47" s="3">
        <v>1</v>
      </c>
      <c r="T47" s="3">
        <v>0</v>
      </c>
      <c r="U47" s="3">
        <v>1</v>
      </c>
      <c r="V47" s="3">
        <v>1</v>
      </c>
      <c r="W47" s="39">
        <f t="shared" si="77"/>
        <v>6</v>
      </c>
      <c r="X47" s="3">
        <v>1</v>
      </c>
      <c r="Y47" s="3">
        <v>1</v>
      </c>
      <c r="Z47" s="3">
        <v>1</v>
      </c>
      <c r="AA47" s="3">
        <v>1</v>
      </c>
      <c r="AB47" s="3">
        <v>0</v>
      </c>
      <c r="AC47" s="3">
        <v>1</v>
      </c>
      <c r="AD47" s="3">
        <v>1</v>
      </c>
      <c r="AE47" s="39">
        <f t="shared" si="78"/>
        <v>6</v>
      </c>
      <c r="AF47" s="3">
        <v>1</v>
      </c>
      <c r="AG47" s="3">
        <v>1</v>
      </c>
      <c r="AH47" s="3">
        <v>1</v>
      </c>
      <c r="AI47" s="3">
        <v>1</v>
      </c>
      <c r="AJ47" s="3">
        <v>0</v>
      </c>
      <c r="AK47" s="3">
        <v>1</v>
      </c>
      <c r="AL47" s="3">
        <v>1</v>
      </c>
      <c r="AM47" s="40">
        <f t="shared" si="79"/>
        <v>6</v>
      </c>
      <c r="AN47" s="3">
        <v>1</v>
      </c>
      <c r="AO47" s="3">
        <v>1</v>
      </c>
      <c r="AP47" s="3">
        <v>1</v>
      </c>
      <c r="AQ47" s="3">
        <v>1</v>
      </c>
      <c r="AR47" s="3">
        <v>1</v>
      </c>
      <c r="AS47" s="3">
        <v>1</v>
      </c>
      <c r="AT47" s="3">
        <v>1</v>
      </c>
      <c r="AU47" s="3">
        <v>1</v>
      </c>
      <c r="AV47" s="40">
        <f t="shared" si="73"/>
        <v>8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40">
        <f t="shared" si="74"/>
        <v>6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1</v>
      </c>
      <c r="BK47" s="3">
        <v>1</v>
      </c>
      <c r="BL47" s="40">
        <f t="shared" si="75"/>
        <v>8</v>
      </c>
      <c r="BO47" s="22">
        <f t="shared" si="76"/>
        <v>50</v>
      </c>
      <c r="BP47" s="22">
        <f t="shared" si="8"/>
        <v>92.592592592592595</v>
      </c>
    </row>
    <row r="48" spans="1:68" ht="18" x14ac:dyDescent="0.35">
      <c r="A48" s="2">
        <v>43</v>
      </c>
      <c r="B48" s="16" t="s">
        <v>120</v>
      </c>
      <c r="C48" s="20" t="s">
        <v>121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0</v>
      </c>
      <c r="N48" s="3">
        <v>1</v>
      </c>
      <c r="O48" s="39">
        <f t="shared" si="80"/>
        <v>10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0</v>
      </c>
      <c r="V48" s="3">
        <v>1</v>
      </c>
      <c r="W48" s="39">
        <f t="shared" si="77"/>
        <v>6</v>
      </c>
      <c r="X48" s="3">
        <v>1</v>
      </c>
      <c r="Y48" s="3">
        <v>1</v>
      </c>
      <c r="Z48" s="3">
        <v>1</v>
      </c>
      <c r="AA48" s="3">
        <v>1</v>
      </c>
      <c r="AB48" s="3">
        <v>0</v>
      </c>
      <c r="AC48" s="3">
        <v>1</v>
      </c>
      <c r="AD48" s="3">
        <v>1</v>
      </c>
      <c r="AE48" s="39">
        <f t="shared" si="78"/>
        <v>6</v>
      </c>
      <c r="AF48" s="3">
        <v>1</v>
      </c>
      <c r="AG48" s="3">
        <v>1</v>
      </c>
      <c r="AH48" s="3">
        <v>1</v>
      </c>
      <c r="AI48" s="3">
        <v>1</v>
      </c>
      <c r="AJ48" s="3">
        <v>1</v>
      </c>
      <c r="AK48" s="3">
        <v>1</v>
      </c>
      <c r="AL48" s="3">
        <v>1</v>
      </c>
      <c r="AM48" s="40">
        <f t="shared" si="79"/>
        <v>7</v>
      </c>
      <c r="AN48" s="3">
        <v>1</v>
      </c>
      <c r="AO48" s="3">
        <v>1</v>
      </c>
      <c r="AP48" s="3">
        <v>0</v>
      </c>
      <c r="AQ48" s="3">
        <v>1</v>
      </c>
      <c r="AR48" s="3">
        <v>0</v>
      </c>
      <c r="AS48" s="3">
        <v>1</v>
      </c>
      <c r="AT48" s="3">
        <v>0</v>
      </c>
      <c r="AU48" s="3">
        <v>1</v>
      </c>
      <c r="AV48" s="40">
        <f t="shared" si="73"/>
        <v>5</v>
      </c>
      <c r="AW48" s="3">
        <v>1</v>
      </c>
      <c r="AX48" s="3">
        <v>0</v>
      </c>
      <c r="AY48" s="3">
        <v>0</v>
      </c>
      <c r="AZ48" s="3">
        <v>1</v>
      </c>
      <c r="BA48" s="3">
        <v>0</v>
      </c>
      <c r="BB48" s="3">
        <v>0</v>
      </c>
      <c r="BC48" s="40">
        <f t="shared" si="74"/>
        <v>2</v>
      </c>
      <c r="BD48" s="3">
        <v>1</v>
      </c>
      <c r="BE48" s="3">
        <v>1</v>
      </c>
      <c r="BF48" s="3">
        <v>0</v>
      </c>
      <c r="BG48" s="3">
        <v>1</v>
      </c>
      <c r="BH48" s="3">
        <v>0</v>
      </c>
      <c r="BI48" s="3">
        <v>0</v>
      </c>
      <c r="BJ48" s="3">
        <v>1</v>
      </c>
      <c r="BK48" s="3">
        <v>1</v>
      </c>
      <c r="BL48" s="40">
        <f t="shared" si="75"/>
        <v>5</v>
      </c>
      <c r="BO48" s="22">
        <f t="shared" si="76"/>
        <v>41</v>
      </c>
      <c r="BP48" s="22">
        <f t="shared" si="8"/>
        <v>75.925925925925924</v>
      </c>
    </row>
    <row r="49" spans="1:68" ht="18" x14ac:dyDescent="0.35">
      <c r="A49" s="2">
        <v>44</v>
      </c>
      <c r="B49" s="16" t="s">
        <v>122</v>
      </c>
      <c r="C49" s="20" t="s">
        <v>123</v>
      </c>
      <c r="D49" s="3">
        <v>1</v>
      </c>
      <c r="E49" s="3">
        <v>0</v>
      </c>
      <c r="F49" s="3">
        <v>1</v>
      </c>
      <c r="G49" s="3">
        <v>1</v>
      </c>
      <c r="H49" s="3">
        <v>0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9">
        <f t="shared" si="80"/>
        <v>9</v>
      </c>
      <c r="P49" s="3">
        <v>1</v>
      </c>
      <c r="Q49" s="3">
        <v>0</v>
      </c>
      <c r="R49" s="3">
        <v>1</v>
      </c>
      <c r="S49" s="3">
        <v>1</v>
      </c>
      <c r="T49" s="3">
        <v>1</v>
      </c>
      <c r="U49" s="3">
        <v>1</v>
      </c>
      <c r="V49" s="3">
        <v>1</v>
      </c>
      <c r="W49" s="39">
        <f t="shared" si="77"/>
        <v>6</v>
      </c>
      <c r="X49" s="3">
        <v>0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">
        <v>1</v>
      </c>
      <c r="AE49" s="39">
        <f t="shared" si="78"/>
        <v>6</v>
      </c>
      <c r="AF49" s="3">
        <v>1</v>
      </c>
      <c r="AG49" s="3">
        <v>0</v>
      </c>
      <c r="AH49" s="3">
        <v>1</v>
      </c>
      <c r="AI49" s="3">
        <v>1</v>
      </c>
      <c r="AJ49" s="3">
        <v>1</v>
      </c>
      <c r="AK49" s="3">
        <v>1</v>
      </c>
      <c r="AL49" s="3">
        <v>1</v>
      </c>
      <c r="AM49" s="40">
        <f t="shared" si="79"/>
        <v>6</v>
      </c>
      <c r="AN49" s="3">
        <v>1</v>
      </c>
      <c r="AO49" s="3">
        <v>1</v>
      </c>
      <c r="AP49" s="3">
        <v>1</v>
      </c>
      <c r="AQ49" s="3">
        <v>1</v>
      </c>
      <c r="AR49" s="3">
        <v>1</v>
      </c>
      <c r="AS49" s="3">
        <v>1</v>
      </c>
      <c r="AT49" s="3">
        <v>1</v>
      </c>
      <c r="AU49" s="3">
        <v>1</v>
      </c>
      <c r="AV49" s="40">
        <f t="shared" si="73"/>
        <v>8</v>
      </c>
      <c r="AW49" s="3">
        <v>1</v>
      </c>
      <c r="AX49" s="3">
        <v>1</v>
      </c>
      <c r="AY49" s="3">
        <v>1</v>
      </c>
      <c r="AZ49" s="3">
        <v>1</v>
      </c>
      <c r="BA49" s="3">
        <v>1</v>
      </c>
      <c r="BB49" s="3">
        <v>1</v>
      </c>
      <c r="BC49" s="40">
        <f t="shared" si="74"/>
        <v>6</v>
      </c>
      <c r="BD49" s="3">
        <v>1</v>
      </c>
      <c r="BE49" s="3">
        <v>1</v>
      </c>
      <c r="BF49" s="3">
        <v>1</v>
      </c>
      <c r="BG49" s="3">
        <v>1</v>
      </c>
      <c r="BH49" s="3">
        <v>1</v>
      </c>
      <c r="BI49" s="3">
        <v>1</v>
      </c>
      <c r="BJ49" s="3">
        <v>1</v>
      </c>
      <c r="BK49" s="3">
        <v>1</v>
      </c>
      <c r="BL49" s="40">
        <f t="shared" si="75"/>
        <v>8</v>
      </c>
      <c r="BO49" s="22">
        <f t="shared" si="76"/>
        <v>49</v>
      </c>
      <c r="BP49" s="22">
        <f t="shared" si="8"/>
        <v>90.740740740740748</v>
      </c>
    </row>
    <row r="50" spans="1:68" ht="18" x14ac:dyDescent="0.35">
      <c r="A50" s="2">
        <v>45</v>
      </c>
      <c r="B50" s="16" t="s">
        <v>124</v>
      </c>
      <c r="C50" s="20" t="s">
        <v>125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0</v>
      </c>
      <c r="O50" s="39">
        <f t="shared" si="80"/>
        <v>10</v>
      </c>
      <c r="P50" s="3">
        <v>1</v>
      </c>
      <c r="Q50" s="3">
        <v>1</v>
      </c>
      <c r="R50" s="3">
        <v>1</v>
      </c>
      <c r="S50" s="3">
        <v>1</v>
      </c>
      <c r="T50" s="3">
        <v>0</v>
      </c>
      <c r="U50" s="3">
        <v>1</v>
      </c>
      <c r="V50" s="3">
        <v>1</v>
      </c>
      <c r="W50" s="39">
        <f t="shared" si="77"/>
        <v>6</v>
      </c>
      <c r="X50" s="3">
        <v>1</v>
      </c>
      <c r="Y50" s="3">
        <v>1</v>
      </c>
      <c r="Z50" s="3">
        <v>1</v>
      </c>
      <c r="AA50" s="3">
        <v>1</v>
      </c>
      <c r="AB50" s="3">
        <v>0</v>
      </c>
      <c r="AC50" s="3">
        <v>1</v>
      </c>
      <c r="AD50" s="3">
        <v>1</v>
      </c>
      <c r="AE50" s="39">
        <f t="shared" si="78"/>
        <v>6</v>
      </c>
      <c r="AF50" s="3">
        <v>1</v>
      </c>
      <c r="AG50" s="3">
        <v>1</v>
      </c>
      <c r="AH50" s="3">
        <v>1</v>
      </c>
      <c r="AI50" s="3">
        <v>1</v>
      </c>
      <c r="AJ50" s="3">
        <v>0</v>
      </c>
      <c r="AK50" s="3">
        <v>1</v>
      </c>
      <c r="AL50" s="3">
        <v>1</v>
      </c>
      <c r="AM50" s="40">
        <f t="shared" si="79"/>
        <v>6</v>
      </c>
      <c r="AN50" s="3">
        <v>1</v>
      </c>
      <c r="AO50" s="3">
        <v>1</v>
      </c>
      <c r="AP50" s="3">
        <v>1</v>
      </c>
      <c r="AQ50" s="3">
        <v>1</v>
      </c>
      <c r="AR50" s="3">
        <v>1</v>
      </c>
      <c r="AS50" s="3">
        <v>1</v>
      </c>
      <c r="AT50" s="3">
        <v>1</v>
      </c>
      <c r="AU50" s="3">
        <v>1</v>
      </c>
      <c r="AV50" s="40">
        <f t="shared" si="73"/>
        <v>8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40">
        <f t="shared" si="74"/>
        <v>6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3">
        <v>1</v>
      </c>
      <c r="BK50" s="3">
        <v>1</v>
      </c>
      <c r="BL50" s="40">
        <f t="shared" si="75"/>
        <v>8</v>
      </c>
      <c r="BO50" s="22">
        <f t="shared" si="76"/>
        <v>50</v>
      </c>
      <c r="BP50" s="22">
        <f t="shared" si="8"/>
        <v>92.592592592592595</v>
      </c>
    </row>
    <row r="51" spans="1:68" ht="18" x14ac:dyDescent="0.35">
      <c r="A51" s="2">
        <v>46</v>
      </c>
      <c r="B51" s="16" t="s">
        <v>126</v>
      </c>
      <c r="C51" s="20" t="s">
        <v>127</v>
      </c>
      <c r="D51" s="3">
        <v>1</v>
      </c>
      <c r="E51" s="3">
        <v>0</v>
      </c>
      <c r="F51" s="3">
        <v>1</v>
      </c>
      <c r="G51" s="3">
        <v>1</v>
      </c>
      <c r="H51" s="3">
        <v>0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9">
        <f t="shared" si="80"/>
        <v>9</v>
      </c>
      <c r="P51" s="3">
        <v>1</v>
      </c>
      <c r="Q51" s="3">
        <v>0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9">
        <f t="shared" si="77"/>
        <v>6</v>
      </c>
      <c r="X51" s="3">
        <v>0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9">
        <f t="shared" si="78"/>
        <v>6</v>
      </c>
      <c r="AF51" s="3">
        <v>1</v>
      </c>
      <c r="AG51" s="3">
        <v>0</v>
      </c>
      <c r="AH51" s="3">
        <v>1</v>
      </c>
      <c r="AI51" s="3">
        <v>1</v>
      </c>
      <c r="AJ51" s="3">
        <v>1</v>
      </c>
      <c r="AK51" s="3">
        <v>1</v>
      </c>
      <c r="AL51" s="3">
        <v>1</v>
      </c>
      <c r="AM51" s="40">
        <f t="shared" si="79"/>
        <v>6</v>
      </c>
      <c r="AN51" s="3">
        <v>1</v>
      </c>
      <c r="AO51" s="3">
        <v>1</v>
      </c>
      <c r="AP51" s="3">
        <v>1</v>
      </c>
      <c r="AQ51" s="3">
        <v>1</v>
      </c>
      <c r="AR51" s="3">
        <v>1</v>
      </c>
      <c r="AS51" s="3">
        <v>1</v>
      </c>
      <c r="AT51" s="3">
        <v>1</v>
      </c>
      <c r="AU51" s="3">
        <v>1</v>
      </c>
      <c r="AV51" s="40">
        <f t="shared" si="73"/>
        <v>8</v>
      </c>
      <c r="AW51" s="3">
        <v>1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40">
        <f t="shared" si="74"/>
        <v>6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  <c r="BI51" s="3">
        <v>1</v>
      </c>
      <c r="BJ51" s="3">
        <v>1</v>
      </c>
      <c r="BK51" s="3">
        <v>1</v>
      </c>
      <c r="BL51" s="40">
        <f t="shared" si="75"/>
        <v>8</v>
      </c>
      <c r="BO51" s="22">
        <f t="shared" si="76"/>
        <v>49</v>
      </c>
      <c r="BP51" s="22">
        <f t="shared" si="8"/>
        <v>90.740740740740748</v>
      </c>
    </row>
    <row r="52" spans="1:68" ht="18" x14ac:dyDescent="0.35">
      <c r="A52" s="2">
        <v>47</v>
      </c>
      <c r="B52" s="16" t="s">
        <v>128</v>
      </c>
      <c r="C52" s="20" t="s">
        <v>129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9">
        <f t="shared" si="80"/>
        <v>11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9">
        <f t="shared" si="77"/>
        <v>7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9">
        <f t="shared" si="78"/>
        <v>7</v>
      </c>
      <c r="AF52" s="3">
        <v>1</v>
      </c>
      <c r="AG52" s="3">
        <v>0</v>
      </c>
      <c r="AH52" s="3">
        <v>0</v>
      </c>
      <c r="AI52" s="3">
        <v>1</v>
      </c>
      <c r="AJ52" s="3">
        <v>1</v>
      </c>
      <c r="AK52" s="3">
        <v>1</v>
      </c>
      <c r="AL52" s="3">
        <v>1</v>
      </c>
      <c r="AM52" s="40">
        <f t="shared" si="79"/>
        <v>5</v>
      </c>
      <c r="AN52" s="3">
        <v>1</v>
      </c>
      <c r="AO52" s="3">
        <v>1</v>
      </c>
      <c r="AP52" s="3">
        <v>0</v>
      </c>
      <c r="AQ52" s="3">
        <v>1</v>
      </c>
      <c r="AR52" s="3">
        <v>0</v>
      </c>
      <c r="AS52" s="3">
        <v>1</v>
      </c>
      <c r="AT52" s="3">
        <v>0</v>
      </c>
      <c r="AU52" s="3">
        <v>1</v>
      </c>
      <c r="AV52" s="40">
        <f t="shared" si="73"/>
        <v>5</v>
      </c>
      <c r="AW52" s="3">
        <v>1</v>
      </c>
      <c r="AX52" s="3">
        <v>0</v>
      </c>
      <c r="AY52" s="3">
        <v>0</v>
      </c>
      <c r="AZ52" s="3">
        <v>1</v>
      </c>
      <c r="BA52" s="3">
        <v>0</v>
      </c>
      <c r="BB52" s="3">
        <v>0</v>
      </c>
      <c r="BC52" s="40">
        <f t="shared" si="74"/>
        <v>2</v>
      </c>
      <c r="BD52" s="3">
        <v>0</v>
      </c>
      <c r="BE52" s="3">
        <v>0</v>
      </c>
      <c r="BF52" s="3">
        <v>0</v>
      </c>
      <c r="BG52" s="3">
        <v>1</v>
      </c>
      <c r="BH52" s="3">
        <v>1</v>
      </c>
      <c r="BI52" s="3">
        <v>1</v>
      </c>
      <c r="BJ52" s="3">
        <v>1</v>
      </c>
      <c r="BK52" s="3">
        <v>1</v>
      </c>
      <c r="BL52" s="40">
        <f t="shared" si="75"/>
        <v>5</v>
      </c>
      <c r="BO52" s="22">
        <f t="shared" si="76"/>
        <v>42</v>
      </c>
      <c r="BP52" s="22">
        <f t="shared" si="8"/>
        <v>77.777777777777786</v>
      </c>
    </row>
    <row r="53" spans="1:68" ht="18" x14ac:dyDescent="0.35">
      <c r="A53" s="2">
        <v>48</v>
      </c>
      <c r="B53" s="16" t="s">
        <v>130</v>
      </c>
      <c r="C53" s="20" t="s">
        <v>131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0</v>
      </c>
      <c r="O53" s="39">
        <f t="shared" si="80"/>
        <v>10</v>
      </c>
      <c r="P53" s="3">
        <v>1</v>
      </c>
      <c r="Q53" s="3">
        <v>1</v>
      </c>
      <c r="R53" s="3">
        <v>1</v>
      </c>
      <c r="S53" s="3">
        <v>1</v>
      </c>
      <c r="T53" s="3">
        <v>0</v>
      </c>
      <c r="U53" s="3">
        <v>1</v>
      </c>
      <c r="V53" s="3">
        <v>1</v>
      </c>
      <c r="W53" s="39">
        <f t="shared" si="77"/>
        <v>6</v>
      </c>
      <c r="X53" s="3">
        <v>1</v>
      </c>
      <c r="Y53" s="3">
        <v>1</v>
      </c>
      <c r="Z53" s="3">
        <v>1</v>
      </c>
      <c r="AA53" s="3">
        <v>1</v>
      </c>
      <c r="AB53" s="3">
        <v>0</v>
      </c>
      <c r="AC53" s="3">
        <v>1</v>
      </c>
      <c r="AD53" s="3">
        <v>1</v>
      </c>
      <c r="AE53" s="39">
        <f t="shared" si="78"/>
        <v>6</v>
      </c>
      <c r="AF53" s="3">
        <v>1</v>
      </c>
      <c r="AG53" s="3">
        <v>1</v>
      </c>
      <c r="AH53" s="3">
        <v>1</v>
      </c>
      <c r="AI53" s="3">
        <v>1</v>
      </c>
      <c r="AJ53" s="3">
        <v>0</v>
      </c>
      <c r="AK53" s="3">
        <v>1</v>
      </c>
      <c r="AL53" s="3">
        <v>1</v>
      </c>
      <c r="AM53" s="40">
        <f t="shared" si="79"/>
        <v>6</v>
      </c>
      <c r="AN53" s="3">
        <v>1</v>
      </c>
      <c r="AO53" s="3">
        <v>1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3">
        <v>1</v>
      </c>
      <c r="AV53" s="40">
        <f t="shared" si="73"/>
        <v>8</v>
      </c>
      <c r="AW53" s="3">
        <v>1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 s="40">
        <f t="shared" si="74"/>
        <v>6</v>
      </c>
      <c r="BD53" s="3">
        <v>1</v>
      </c>
      <c r="BE53" s="3">
        <v>1</v>
      </c>
      <c r="BF53" s="3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40">
        <f t="shared" si="75"/>
        <v>8</v>
      </c>
      <c r="BO53" s="22">
        <f t="shared" si="76"/>
        <v>50</v>
      </c>
      <c r="BP53" s="22">
        <f t="shared" si="8"/>
        <v>92.592592592592595</v>
      </c>
    </row>
    <row r="54" spans="1:68" ht="18" x14ac:dyDescent="0.35">
      <c r="A54" s="2">
        <v>49</v>
      </c>
      <c r="B54" s="16" t="s">
        <v>132</v>
      </c>
      <c r="C54" s="20" t="s">
        <v>133</v>
      </c>
      <c r="D54" s="3">
        <v>1</v>
      </c>
      <c r="E54" s="3">
        <v>0</v>
      </c>
      <c r="F54" s="3">
        <v>1</v>
      </c>
      <c r="G54" s="3">
        <v>1</v>
      </c>
      <c r="H54" s="3">
        <v>0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9">
        <f t="shared" si="80"/>
        <v>9</v>
      </c>
      <c r="P54" s="3">
        <v>1</v>
      </c>
      <c r="Q54" s="3">
        <v>0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9">
        <f t="shared" si="77"/>
        <v>6</v>
      </c>
      <c r="X54" s="3">
        <v>0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9">
        <f t="shared" si="78"/>
        <v>6</v>
      </c>
      <c r="AF54" s="3">
        <v>1</v>
      </c>
      <c r="AG54" s="3">
        <v>0</v>
      </c>
      <c r="AH54" s="3">
        <v>1</v>
      </c>
      <c r="AI54" s="3">
        <v>1</v>
      </c>
      <c r="AJ54" s="3">
        <v>1</v>
      </c>
      <c r="AK54" s="3">
        <v>1</v>
      </c>
      <c r="AL54" s="3">
        <v>1</v>
      </c>
      <c r="AM54" s="40">
        <f t="shared" si="79"/>
        <v>6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40">
        <f t="shared" si="73"/>
        <v>8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40">
        <f t="shared" si="74"/>
        <v>6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40">
        <f t="shared" si="75"/>
        <v>8</v>
      </c>
      <c r="BO54" s="22">
        <f t="shared" si="76"/>
        <v>49</v>
      </c>
      <c r="BP54" s="22">
        <f t="shared" si="8"/>
        <v>90.740740740740748</v>
      </c>
    </row>
    <row r="55" spans="1:68" ht="18" x14ac:dyDescent="0.35">
      <c r="A55" s="2">
        <v>50</v>
      </c>
      <c r="B55" s="16" t="s">
        <v>134</v>
      </c>
      <c r="C55" s="20" t="s">
        <v>135</v>
      </c>
      <c r="D55" s="3">
        <v>0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0</v>
      </c>
      <c r="O55" s="39">
        <f t="shared" si="80"/>
        <v>9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9">
        <f t="shared" si="77"/>
        <v>7</v>
      </c>
      <c r="X55" s="3">
        <v>1</v>
      </c>
      <c r="Y55" s="3">
        <v>1</v>
      </c>
      <c r="Z55" s="3">
        <v>1</v>
      </c>
      <c r="AA55" s="3">
        <v>1</v>
      </c>
      <c r="AB55" s="3">
        <v>1</v>
      </c>
      <c r="AC55" s="3">
        <v>1</v>
      </c>
      <c r="AD55" s="3">
        <v>1</v>
      </c>
      <c r="AE55" s="39">
        <f t="shared" si="78"/>
        <v>7</v>
      </c>
      <c r="AF55" s="3">
        <v>1</v>
      </c>
      <c r="AG55" s="3">
        <v>1</v>
      </c>
      <c r="AH55" s="3">
        <v>1</v>
      </c>
      <c r="AI55" s="3">
        <v>1</v>
      </c>
      <c r="AJ55" s="3">
        <v>1</v>
      </c>
      <c r="AK55" s="3">
        <v>1</v>
      </c>
      <c r="AL55" s="3">
        <v>1</v>
      </c>
      <c r="AM55" s="40">
        <f t="shared" si="79"/>
        <v>7</v>
      </c>
      <c r="AN55" s="3">
        <v>1</v>
      </c>
      <c r="AO55" s="3">
        <v>1</v>
      </c>
      <c r="AP55" s="3">
        <v>0</v>
      </c>
      <c r="AQ55" s="3">
        <v>1</v>
      </c>
      <c r="AR55" s="3">
        <v>0</v>
      </c>
      <c r="AS55" s="3">
        <v>1</v>
      </c>
      <c r="AT55" s="3">
        <v>0</v>
      </c>
      <c r="AU55" s="3">
        <v>1</v>
      </c>
      <c r="AV55" s="40">
        <f t="shared" si="73"/>
        <v>5</v>
      </c>
      <c r="AW55" s="3">
        <v>0</v>
      </c>
      <c r="AX55" s="3">
        <v>0</v>
      </c>
      <c r="AY55" s="3">
        <v>1</v>
      </c>
      <c r="AZ55" s="3">
        <v>0</v>
      </c>
      <c r="BA55" s="3">
        <v>0</v>
      </c>
      <c r="BB55" s="3">
        <v>1</v>
      </c>
      <c r="BC55" s="40">
        <f t="shared" si="74"/>
        <v>2</v>
      </c>
      <c r="BD55" s="3">
        <v>1</v>
      </c>
      <c r="BE55" s="3">
        <v>1</v>
      </c>
      <c r="BF55" s="3">
        <v>1</v>
      </c>
      <c r="BG55" s="3">
        <v>1</v>
      </c>
      <c r="BH55" s="3">
        <v>1</v>
      </c>
      <c r="BI55" s="3">
        <v>1</v>
      </c>
      <c r="BJ55" s="3">
        <v>1</v>
      </c>
      <c r="BK55" s="3">
        <v>1</v>
      </c>
      <c r="BL55" s="40">
        <f t="shared" si="75"/>
        <v>8</v>
      </c>
      <c r="BO55" s="22">
        <f t="shared" si="76"/>
        <v>45</v>
      </c>
      <c r="BP55" s="22">
        <f t="shared" si="8"/>
        <v>83.333333333333343</v>
      </c>
    </row>
    <row r="56" spans="1:68" ht="18" x14ac:dyDescent="0.35">
      <c r="A56" s="2">
        <v>51</v>
      </c>
      <c r="B56" s="16" t="s">
        <v>136</v>
      </c>
      <c r="C56" s="20" t="s">
        <v>137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0</v>
      </c>
      <c r="O56" s="39">
        <f t="shared" si="80"/>
        <v>10</v>
      </c>
      <c r="P56" s="3">
        <v>1</v>
      </c>
      <c r="Q56" s="3">
        <v>1</v>
      </c>
      <c r="R56" s="3">
        <v>1</v>
      </c>
      <c r="S56" s="3">
        <v>1</v>
      </c>
      <c r="T56" s="3">
        <v>0</v>
      </c>
      <c r="U56" s="3">
        <v>1</v>
      </c>
      <c r="V56" s="3">
        <v>1</v>
      </c>
      <c r="W56" s="39">
        <f t="shared" si="77"/>
        <v>6</v>
      </c>
      <c r="X56" s="3">
        <v>1</v>
      </c>
      <c r="Y56" s="3">
        <v>1</v>
      </c>
      <c r="Z56" s="3">
        <v>1</v>
      </c>
      <c r="AA56" s="3">
        <v>1</v>
      </c>
      <c r="AB56" s="3">
        <v>0</v>
      </c>
      <c r="AC56" s="3">
        <v>1</v>
      </c>
      <c r="AD56" s="3">
        <v>1</v>
      </c>
      <c r="AE56" s="39">
        <f t="shared" si="78"/>
        <v>6</v>
      </c>
      <c r="AF56" s="3">
        <v>1</v>
      </c>
      <c r="AG56" s="3">
        <v>1</v>
      </c>
      <c r="AH56" s="3">
        <v>1</v>
      </c>
      <c r="AI56" s="3">
        <v>1</v>
      </c>
      <c r="AJ56" s="3">
        <v>0</v>
      </c>
      <c r="AK56" s="3">
        <v>1</v>
      </c>
      <c r="AL56" s="3">
        <v>1</v>
      </c>
      <c r="AM56" s="40">
        <f t="shared" si="79"/>
        <v>6</v>
      </c>
      <c r="AN56" s="3">
        <v>1</v>
      </c>
      <c r="AO56" s="3">
        <v>1</v>
      </c>
      <c r="AP56" s="3">
        <v>1</v>
      </c>
      <c r="AQ56" s="3">
        <v>1</v>
      </c>
      <c r="AR56" s="3">
        <v>1</v>
      </c>
      <c r="AS56" s="3">
        <v>1</v>
      </c>
      <c r="AT56" s="3">
        <v>1</v>
      </c>
      <c r="AU56" s="3">
        <v>1</v>
      </c>
      <c r="AV56" s="40">
        <f t="shared" si="73"/>
        <v>8</v>
      </c>
      <c r="AW56" s="3">
        <v>1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40">
        <f t="shared" si="74"/>
        <v>6</v>
      </c>
      <c r="BD56" s="3">
        <v>1</v>
      </c>
      <c r="BE56" s="3">
        <v>1</v>
      </c>
      <c r="BF56" s="3">
        <v>1</v>
      </c>
      <c r="BG56" s="3">
        <v>1</v>
      </c>
      <c r="BH56" s="3">
        <v>1</v>
      </c>
      <c r="BI56" s="3">
        <v>1</v>
      </c>
      <c r="BJ56" s="3">
        <v>1</v>
      </c>
      <c r="BK56" s="3">
        <v>1</v>
      </c>
      <c r="BL56" s="40">
        <f t="shared" si="75"/>
        <v>8</v>
      </c>
      <c r="BO56" s="22">
        <f t="shared" si="76"/>
        <v>50</v>
      </c>
      <c r="BP56" s="22">
        <f t="shared" si="8"/>
        <v>92.592592592592595</v>
      </c>
    </row>
    <row r="57" spans="1:68" ht="18" x14ac:dyDescent="0.35">
      <c r="A57" s="2">
        <v>52</v>
      </c>
      <c r="B57" s="16" t="s">
        <v>138</v>
      </c>
      <c r="C57" s="20" t="s">
        <v>139</v>
      </c>
      <c r="D57" s="3">
        <v>1</v>
      </c>
      <c r="E57" s="3">
        <v>0</v>
      </c>
      <c r="F57" s="3">
        <v>1</v>
      </c>
      <c r="G57" s="3">
        <v>1</v>
      </c>
      <c r="H57" s="3">
        <v>0</v>
      </c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9">
        <f t="shared" si="80"/>
        <v>9</v>
      </c>
      <c r="P57" s="3">
        <v>1</v>
      </c>
      <c r="Q57" s="3">
        <v>0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9">
        <f t="shared" si="77"/>
        <v>6</v>
      </c>
      <c r="X57" s="3">
        <v>0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9">
        <f t="shared" si="78"/>
        <v>6</v>
      </c>
      <c r="AF57" s="3">
        <v>1</v>
      </c>
      <c r="AG57" s="3">
        <v>0</v>
      </c>
      <c r="AH57" s="3">
        <v>1</v>
      </c>
      <c r="AI57" s="3">
        <v>1</v>
      </c>
      <c r="AJ57" s="3">
        <v>1</v>
      </c>
      <c r="AK57" s="3">
        <v>1</v>
      </c>
      <c r="AL57" s="3">
        <v>1</v>
      </c>
      <c r="AM57" s="40">
        <f t="shared" si="79"/>
        <v>6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  <c r="AU57" s="3">
        <v>1</v>
      </c>
      <c r="AV57" s="40">
        <f t="shared" si="73"/>
        <v>8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40">
        <f t="shared" si="74"/>
        <v>6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>
        <v>1</v>
      </c>
      <c r="BJ57" s="3">
        <v>1</v>
      </c>
      <c r="BK57" s="3">
        <v>1</v>
      </c>
      <c r="BL57" s="40">
        <f t="shared" si="75"/>
        <v>8</v>
      </c>
      <c r="BO57" s="22">
        <f t="shared" si="76"/>
        <v>49</v>
      </c>
      <c r="BP57" s="22">
        <f t="shared" si="8"/>
        <v>90.740740740740748</v>
      </c>
    </row>
    <row r="58" spans="1:68" ht="18" x14ac:dyDescent="0.35">
      <c r="A58" s="2">
        <v>53</v>
      </c>
      <c r="B58" s="16" t="s">
        <v>140</v>
      </c>
      <c r="C58" s="20" t="s">
        <v>141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>
        <v>0</v>
      </c>
      <c r="N58" s="3">
        <v>1</v>
      </c>
      <c r="O58" s="39">
        <f t="shared" si="80"/>
        <v>10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0</v>
      </c>
      <c r="V58" s="3">
        <v>1</v>
      </c>
      <c r="W58" s="39">
        <f t="shared" si="77"/>
        <v>6</v>
      </c>
      <c r="X58" s="3">
        <v>1</v>
      </c>
      <c r="Y58" s="3">
        <v>1</v>
      </c>
      <c r="Z58" s="3">
        <v>1</v>
      </c>
      <c r="AA58" s="3">
        <v>1</v>
      </c>
      <c r="AB58" s="3">
        <v>0</v>
      </c>
      <c r="AC58" s="3">
        <v>1</v>
      </c>
      <c r="AD58" s="3">
        <v>1</v>
      </c>
      <c r="AE58" s="39">
        <f t="shared" si="78"/>
        <v>6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40">
        <f t="shared" si="79"/>
        <v>7</v>
      </c>
      <c r="AN58" s="3">
        <v>1</v>
      </c>
      <c r="AO58" s="3">
        <v>1</v>
      </c>
      <c r="AP58" s="3">
        <v>0</v>
      </c>
      <c r="AQ58" s="3">
        <v>1</v>
      </c>
      <c r="AR58" s="3">
        <v>0</v>
      </c>
      <c r="AS58" s="3">
        <v>1</v>
      </c>
      <c r="AT58" s="3">
        <v>0</v>
      </c>
      <c r="AU58" s="3">
        <v>1</v>
      </c>
      <c r="AV58" s="40">
        <f t="shared" si="73"/>
        <v>5</v>
      </c>
      <c r="AW58" s="3">
        <v>1</v>
      </c>
      <c r="AX58" s="3">
        <v>0</v>
      </c>
      <c r="AY58" s="3">
        <v>0</v>
      </c>
      <c r="AZ58" s="3">
        <v>1</v>
      </c>
      <c r="BA58" s="3">
        <v>0</v>
      </c>
      <c r="BB58" s="3">
        <v>0</v>
      </c>
      <c r="BC58" s="40">
        <f t="shared" si="74"/>
        <v>2</v>
      </c>
      <c r="BD58" s="3">
        <v>1</v>
      </c>
      <c r="BE58" s="3">
        <v>1</v>
      </c>
      <c r="BF58" s="3">
        <v>0</v>
      </c>
      <c r="BG58" s="3">
        <v>1</v>
      </c>
      <c r="BH58" s="3">
        <v>0</v>
      </c>
      <c r="BI58" s="3">
        <v>0</v>
      </c>
      <c r="BJ58" s="3">
        <v>1</v>
      </c>
      <c r="BK58" s="3">
        <v>1</v>
      </c>
      <c r="BL58" s="40">
        <f t="shared" si="75"/>
        <v>5</v>
      </c>
      <c r="BO58" s="22">
        <f t="shared" si="76"/>
        <v>41</v>
      </c>
      <c r="BP58" s="22">
        <f t="shared" si="8"/>
        <v>75.925925925925924</v>
      </c>
    </row>
    <row r="59" spans="1:68" ht="18" x14ac:dyDescent="0.35">
      <c r="A59" s="2">
        <v>54</v>
      </c>
      <c r="B59" s="16" t="s">
        <v>142</v>
      </c>
      <c r="C59" s="20" t="s">
        <v>143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0</v>
      </c>
      <c r="O59" s="39">
        <f t="shared" si="80"/>
        <v>10</v>
      </c>
      <c r="P59" s="3">
        <v>1</v>
      </c>
      <c r="Q59" s="3">
        <v>1</v>
      </c>
      <c r="R59" s="3">
        <v>1</v>
      </c>
      <c r="S59" s="3">
        <v>1</v>
      </c>
      <c r="T59" s="3">
        <v>0</v>
      </c>
      <c r="U59" s="3">
        <v>1</v>
      </c>
      <c r="V59" s="3">
        <v>1</v>
      </c>
      <c r="W59" s="39">
        <f t="shared" si="77"/>
        <v>6</v>
      </c>
      <c r="X59" s="3">
        <v>1</v>
      </c>
      <c r="Y59" s="3">
        <v>1</v>
      </c>
      <c r="Z59" s="3">
        <v>1</v>
      </c>
      <c r="AA59" s="3">
        <v>1</v>
      </c>
      <c r="AB59" s="3">
        <v>0</v>
      </c>
      <c r="AC59" s="3">
        <v>1</v>
      </c>
      <c r="AD59" s="3">
        <v>1</v>
      </c>
      <c r="AE59" s="39">
        <f t="shared" si="78"/>
        <v>6</v>
      </c>
      <c r="AF59" s="3">
        <v>1</v>
      </c>
      <c r="AG59" s="3">
        <v>1</v>
      </c>
      <c r="AH59" s="3">
        <v>1</v>
      </c>
      <c r="AI59" s="3">
        <v>1</v>
      </c>
      <c r="AJ59" s="3">
        <v>0</v>
      </c>
      <c r="AK59" s="3">
        <v>1</v>
      </c>
      <c r="AL59" s="3">
        <v>1</v>
      </c>
      <c r="AM59" s="40">
        <f t="shared" si="79"/>
        <v>6</v>
      </c>
      <c r="AN59" s="3">
        <v>1</v>
      </c>
      <c r="AO59" s="3">
        <v>1</v>
      </c>
      <c r="AP59" s="3">
        <v>1</v>
      </c>
      <c r="AQ59" s="3">
        <v>1</v>
      </c>
      <c r="AR59" s="3">
        <v>1</v>
      </c>
      <c r="AS59" s="3">
        <v>1</v>
      </c>
      <c r="AT59" s="3">
        <v>1</v>
      </c>
      <c r="AU59" s="3">
        <v>1</v>
      </c>
      <c r="AV59" s="40">
        <f t="shared" si="73"/>
        <v>8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 s="40">
        <f t="shared" si="74"/>
        <v>6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  <c r="BI59" s="3">
        <v>1</v>
      </c>
      <c r="BJ59" s="3">
        <v>1</v>
      </c>
      <c r="BK59" s="3">
        <v>1</v>
      </c>
      <c r="BL59" s="40">
        <f t="shared" si="75"/>
        <v>8</v>
      </c>
      <c r="BO59" s="22">
        <f t="shared" si="76"/>
        <v>50</v>
      </c>
      <c r="BP59" s="22">
        <f t="shared" si="8"/>
        <v>92.592592592592595</v>
      </c>
    </row>
    <row r="60" spans="1:68" ht="18" x14ac:dyDescent="0.35">
      <c r="A60" s="2">
        <v>55</v>
      </c>
      <c r="B60" s="16" t="s">
        <v>144</v>
      </c>
      <c r="C60" s="20" t="s">
        <v>145</v>
      </c>
      <c r="D60" s="3">
        <v>1</v>
      </c>
      <c r="E60" s="3">
        <v>0</v>
      </c>
      <c r="F60" s="3">
        <v>1</v>
      </c>
      <c r="G60" s="3">
        <v>1</v>
      </c>
      <c r="H60" s="3">
        <v>0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9">
        <f t="shared" si="80"/>
        <v>9</v>
      </c>
      <c r="P60" s="3">
        <v>1</v>
      </c>
      <c r="Q60" s="3">
        <v>0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9">
        <f t="shared" si="77"/>
        <v>6</v>
      </c>
      <c r="X60" s="3">
        <v>0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9">
        <f t="shared" si="78"/>
        <v>6</v>
      </c>
      <c r="AF60" s="3">
        <v>1</v>
      </c>
      <c r="AG60" s="3">
        <v>0</v>
      </c>
      <c r="AH60" s="3">
        <v>1</v>
      </c>
      <c r="AI60" s="3">
        <v>1</v>
      </c>
      <c r="AJ60" s="3">
        <v>1</v>
      </c>
      <c r="AK60" s="3">
        <v>1</v>
      </c>
      <c r="AL60" s="3">
        <v>1</v>
      </c>
      <c r="AM60" s="40">
        <f t="shared" si="79"/>
        <v>6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40">
        <f t="shared" si="73"/>
        <v>8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40">
        <f t="shared" si="74"/>
        <v>6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3">
        <v>1</v>
      </c>
      <c r="BK60" s="3">
        <v>1</v>
      </c>
      <c r="BL60" s="40">
        <f t="shared" si="75"/>
        <v>8</v>
      </c>
      <c r="BO60" s="22">
        <f t="shared" si="76"/>
        <v>49</v>
      </c>
      <c r="BP60" s="22">
        <f t="shared" si="8"/>
        <v>90.740740740740748</v>
      </c>
    </row>
    <row r="61" spans="1:68" ht="18" x14ac:dyDescent="0.35">
      <c r="A61" s="2">
        <v>56</v>
      </c>
      <c r="B61" s="16" t="s">
        <v>146</v>
      </c>
      <c r="C61" s="20" t="s">
        <v>147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9">
        <f t="shared" si="80"/>
        <v>11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9">
        <f t="shared" si="77"/>
        <v>7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">
        <v>0</v>
      </c>
      <c r="AD61" s="3">
        <v>1</v>
      </c>
      <c r="AE61" s="39">
        <f t="shared" si="78"/>
        <v>6</v>
      </c>
      <c r="AF61" s="3">
        <v>0</v>
      </c>
      <c r="AG61" s="3">
        <v>1</v>
      </c>
      <c r="AH61" s="3">
        <v>1</v>
      </c>
      <c r="AI61" s="3">
        <v>1</v>
      </c>
      <c r="AJ61" s="3">
        <v>1</v>
      </c>
      <c r="AK61" s="3">
        <v>1</v>
      </c>
      <c r="AL61" s="3">
        <v>1</v>
      </c>
      <c r="AM61" s="40">
        <f t="shared" si="79"/>
        <v>6</v>
      </c>
      <c r="AN61" s="3">
        <v>1</v>
      </c>
      <c r="AO61" s="3">
        <v>1</v>
      </c>
      <c r="AP61" s="3">
        <v>0</v>
      </c>
      <c r="AQ61" s="3">
        <v>1</v>
      </c>
      <c r="AR61" s="3">
        <v>0</v>
      </c>
      <c r="AS61" s="3">
        <v>1</v>
      </c>
      <c r="AT61" s="3">
        <v>0</v>
      </c>
      <c r="AU61" s="3">
        <v>1</v>
      </c>
      <c r="AV61" s="40">
        <f t="shared" si="73"/>
        <v>5</v>
      </c>
      <c r="AW61" s="3">
        <v>0</v>
      </c>
      <c r="AX61" s="3">
        <v>0</v>
      </c>
      <c r="AY61" s="3">
        <v>1</v>
      </c>
      <c r="AZ61" s="3">
        <v>0</v>
      </c>
      <c r="BA61" s="3">
        <v>0</v>
      </c>
      <c r="BB61" s="3">
        <v>1</v>
      </c>
      <c r="BC61" s="40">
        <f t="shared" si="74"/>
        <v>2</v>
      </c>
      <c r="BD61" s="3">
        <v>0</v>
      </c>
      <c r="BE61" s="3">
        <v>0</v>
      </c>
      <c r="BF61" s="3">
        <v>0</v>
      </c>
      <c r="BG61" s="3">
        <v>1</v>
      </c>
      <c r="BH61" s="3">
        <v>1</v>
      </c>
      <c r="BI61" s="3">
        <v>1</v>
      </c>
      <c r="BJ61" s="3">
        <v>1</v>
      </c>
      <c r="BK61" s="3">
        <v>1</v>
      </c>
      <c r="BL61" s="40">
        <f t="shared" si="75"/>
        <v>5</v>
      </c>
      <c r="BO61" s="22">
        <f t="shared" si="76"/>
        <v>42</v>
      </c>
      <c r="BP61" s="22">
        <f t="shared" si="8"/>
        <v>77.777777777777786</v>
      </c>
    </row>
    <row r="62" spans="1:68" ht="18" x14ac:dyDescent="0.35">
      <c r="A62" s="2">
        <v>57</v>
      </c>
      <c r="B62" s="16" t="s">
        <v>148</v>
      </c>
      <c r="C62" s="20" t="s">
        <v>149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0</v>
      </c>
      <c r="N62" s="3">
        <v>1</v>
      </c>
      <c r="O62" s="39">
        <f t="shared" si="80"/>
        <v>10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0</v>
      </c>
      <c r="V62" s="3">
        <v>1</v>
      </c>
      <c r="W62" s="39">
        <f t="shared" si="77"/>
        <v>6</v>
      </c>
      <c r="X62" s="3">
        <v>1</v>
      </c>
      <c r="Y62" s="3">
        <v>1</v>
      </c>
      <c r="Z62" s="3">
        <v>1</v>
      </c>
      <c r="AA62" s="3">
        <v>1</v>
      </c>
      <c r="AB62" s="3">
        <v>0</v>
      </c>
      <c r="AC62" s="3">
        <v>1</v>
      </c>
      <c r="AD62" s="3">
        <v>1</v>
      </c>
      <c r="AE62" s="39">
        <f t="shared" si="78"/>
        <v>6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40">
        <f t="shared" si="79"/>
        <v>7</v>
      </c>
      <c r="AN62" s="3">
        <v>1</v>
      </c>
      <c r="AO62" s="3">
        <v>0</v>
      </c>
      <c r="AP62" s="3">
        <v>1</v>
      </c>
      <c r="AQ62" s="3">
        <v>0</v>
      </c>
      <c r="AR62" s="3">
        <v>1</v>
      </c>
      <c r="AS62" s="3">
        <v>0</v>
      </c>
      <c r="AT62" s="3">
        <v>1</v>
      </c>
      <c r="AU62" s="3">
        <v>1</v>
      </c>
      <c r="AV62" s="40">
        <f t="shared" si="73"/>
        <v>5</v>
      </c>
      <c r="AW62" s="3">
        <v>0</v>
      </c>
      <c r="AX62" s="3">
        <v>0</v>
      </c>
      <c r="AY62" s="3">
        <v>1</v>
      </c>
      <c r="AZ62" s="3">
        <v>0</v>
      </c>
      <c r="BA62" s="3">
        <v>0</v>
      </c>
      <c r="BB62" s="3">
        <v>1</v>
      </c>
      <c r="BC62" s="40">
        <f t="shared" si="74"/>
        <v>2</v>
      </c>
      <c r="BD62" s="3">
        <v>1</v>
      </c>
      <c r="BE62" s="3">
        <v>1</v>
      </c>
      <c r="BF62" s="3">
        <v>0</v>
      </c>
      <c r="BG62" s="3">
        <v>1</v>
      </c>
      <c r="BH62" s="3">
        <v>0</v>
      </c>
      <c r="BI62" s="3">
        <v>0</v>
      </c>
      <c r="BJ62" s="3">
        <v>1</v>
      </c>
      <c r="BK62" s="3">
        <v>1</v>
      </c>
      <c r="BL62" s="40">
        <f t="shared" si="75"/>
        <v>5</v>
      </c>
      <c r="BO62" s="22">
        <f t="shared" si="76"/>
        <v>41</v>
      </c>
      <c r="BP62" s="22">
        <f t="shared" si="8"/>
        <v>75.925925925925924</v>
      </c>
    </row>
    <row r="63" spans="1:68" ht="18" x14ac:dyDescent="0.35">
      <c r="A63" s="2">
        <v>58</v>
      </c>
      <c r="B63" s="16" t="s">
        <v>150</v>
      </c>
      <c r="C63" s="20" t="s">
        <v>151</v>
      </c>
      <c r="D63" s="3">
        <v>1</v>
      </c>
      <c r="E63" s="3">
        <v>0</v>
      </c>
      <c r="F63" s="3">
        <v>1</v>
      </c>
      <c r="G63" s="3">
        <v>1</v>
      </c>
      <c r="H63" s="3">
        <v>0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9">
        <f t="shared" si="80"/>
        <v>9</v>
      </c>
      <c r="P63" s="3">
        <v>1</v>
      </c>
      <c r="Q63" s="3">
        <v>0</v>
      </c>
      <c r="R63" s="3">
        <v>1</v>
      </c>
      <c r="S63" s="3">
        <v>1</v>
      </c>
      <c r="T63" s="3">
        <v>1</v>
      </c>
      <c r="U63" s="3">
        <v>1</v>
      </c>
      <c r="V63" s="3">
        <v>1</v>
      </c>
      <c r="W63" s="39">
        <f t="shared" si="77"/>
        <v>6</v>
      </c>
      <c r="X63" s="3">
        <v>0</v>
      </c>
      <c r="Y63" s="3">
        <v>1</v>
      </c>
      <c r="Z63" s="3">
        <v>1</v>
      </c>
      <c r="AA63" s="3">
        <v>1</v>
      </c>
      <c r="AB63" s="3">
        <v>1</v>
      </c>
      <c r="AC63" s="3">
        <v>1</v>
      </c>
      <c r="AD63" s="3">
        <v>1</v>
      </c>
      <c r="AE63" s="39">
        <f t="shared" si="78"/>
        <v>6</v>
      </c>
      <c r="AF63" s="3">
        <v>1</v>
      </c>
      <c r="AG63" s="3">
        <v>0</v>
      </c>
      <c r="AH63" s="3">
        <v>1</v>
      </c>
      <c r="AI63" s="3">
        <v>1</v>
      </c>
      <c r="AJ63" s="3">
        <v>1</v>
      </c>
      <c r="AK63" s="3">
        <v>1</v>
      </c>
      <c r="AL63" s="3">
        <v>1</v>
      </c>
      <c r="AM63" s="40">
        <f t="shared" si="79"/>
        <v>6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3">
        <v>1</v>
      </c>
      <c r="AT63" s="3">
        <v>1</v>
      </c>
      <c r="AU63" s="3">
        <v>1</v>
      </c>
      <c r="AV63" s="40">
        <f t="shared" si="73"/>
        <v>8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40">
        <f t="shared" si="74"/>
        <v>6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  <c r="BI63" s="3">
        <v>1</v>
      </c>
      <c r="BJ63" s="3">
        <v>1</v>
      </c>
      <c r="BK63" s="3">
        <v>1</v>
      </c>
      <c r="BL63" s="40">
        <f t="shared" si="75"/>
        <v>8</v>
      </c>
      <c r="BO63" s="22">
        <f t="shared" si="76"/>
        <v>49</v>
      </c>
      <c r="BP63" s="22">
        <f t="shared" si="8"/>
        <v>90.740740740740748</v>
      </c>
    </row>
    <row r="64" spans="1:68" ht="18" x14ac:dyDescent="0.35">
      <c r="A64" s="2">
        <v>59</v>
      </c>
      <c r="B64" s="16" t="s">
        <v>152</v>
      </c>
      <c r="C64" s="20" t="s">
        <v>153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0</v>
      </c>
      <c r="O64" s="39">
        <f t="shared" si="80"/>
        <v>10</v>
      </c>
      <c r="P64" s="3">
        <v>1</v>
      </c>
      <c r="Q64" s="3">
        <v>1</v>
      </c>
      <c r="R64" s="3">
        <v>1</v>
      </c>
      <c r="S64" s="3">
        <v>1</v>
      </c>
      <c r="T64" s="3">
        <v>0</v>
      </c>
      <c r="U64" s="3">
        <v>1</v>
      </c>
      <c r="V64" s="3">
        <v>1</v>
      </c>
      <c r="W64" s="39">
        <f t="shared" si="77"/>
        <v>6</v>
      </c>
      <c r="X64" s="3">
        <v>1</v>
      </c>
      <c r="Y64" s="3">
        <v>1</v>
      </c>
      <c r="Z64" s="3">
        <v>1</v>
      </c>
      <c r="AA64" s="3">
        <v>1</v>
      </c>
      <c r="AB64" s="3">
        <v>0</v>
      </c>
      <c r="AC64" s="3">
        <v>1</v>
      </c>
      <c r="AD64" s="3">
        <v>1</v>
      </c>
      <c r="AE64" s="39">
        <f t="shared" si="78"/>
        <v>6</v>
      </c>
      <c r="AF64" s="3">
        <v>1</v>
      </c>
      <c r="AG64" s="3">
        <v>1</v>
      </c>
      <c r="AH64" s="3">
        <v>1</v>
      </c>
      <c r="AI64" s="3">
        <v>1</v>
      </c>
      <c r="AJ64" s="3">
        <v>0</v>
      </c>
      <c r="AK64" s="3">
        <v>1</v>
      </c>
      <c r="AL64" s="3">
        <v>1</v>
      </c>
      <c r="AM64" s="40">
        <f t="shared" si="79"/>
        <v>6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3">
        <v>1</v>
      </c>
      <c r="AV64" s="40">
        <f t="shared" si="73"/>
        <v>8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40">
        <f t="shared" si="74"/>
        <v>6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>
        <v>1</v>
      </c>
      <c r="BK64" s="3">
        <v>1</v>
      </c>
      <c r="BL64" s="40">
        <f t="shared" si="75"/>
        <v>8</v>
      </c>
      <c r="BO64" s="22">
        <f t="shared" si="76"/>
        <v>50</v>
      </c>
      <c r="BP64" s="22">
        <f t="shared" si="8"/>
        <v>92.592592592592595</v>
      </c>
    </row>
    <row r="65" spans="1:68" ht="18" x14ac:dyDescent="0.35">
      <c r="A65" s="2">
        <v>60</v>
      </c>
      <c r="B65" s="16" t="s">
        <v>154</v>
      </c>
      <c r="C65" s="20" t="s">
        <v>155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0</v>
      </c>
      <c r="N65" s="3">
        <v>1</v>
      </c>
      <c r="O65" s="39">
        <f t="shared" si="80"/>
        <v>10</v>
      </c>
      <c r="P65" s="3">
        <v>1</v>
      </c>
      <c r="Q65" s="3">
        <v>1</v>
      </c>
      <c r="R65" s="3">
        <v>1</v>
      </c>
      <c r="S65" s="3">
        <v>1</v>
      </c>
      <c r="T65" s="3">
        <v>1</v>
      </c>
      <c r="U65" s="3">
        <v>0</v>
      </c>
      <c r="V65" s="3">
        <v>1</v>
      </c>
      <c r="W65" s="39">
        <f t="shared" si="77"/>
        <v>6</v>
      </c>
      <c r="X65" s="3">
        <v>1</v>
      </c>
      <c r="Y65" s="3">
        <v>1</v>
      </c>
      <c r="Z65" s="3">
        <v>1</v>
      </c>
      <c r="AA65" s="3">
        <v>1</v>
      </c>
      <c r="AB65" s="3">
        <v>0</v>
      </c>
      <c r="AC65" s="3">
        <v>1</v>
      </c>
      <c r="AD65" s="3">
        <v>1</v>
      </c>
      <c r="AE65" s="39">
        <f t="shared" si="78"/>
        <v>6</v>
      </c>
      <c r="AF65" s="3">
        <v>1</v>
      </c>
      <c r="AG65" s="3">
        <v>1</v>
      </c>
      <c r="AH65" s="3">
        <v>1</v>
      </c>
      <c r="AI65" s="3">
        <v>1</v>
      </c>
      <c r="AJ65" s="3">
        <v>1</v>
      </c>
      <c r="AK65" s="3">
        <v>1</v>
      </c>
      <c r="AL65" s="3">
        <v>1</v>
      </c>
      <c r="AM65" s="40">
        <f t="shared" si="79"/>
        <v>7</v>
      </c>
      <c r="AN65" s="3">
        <v>1</v>
      </c>
      <c r="AO65" s="3">
        <v>1</v>
      </c>
      <c r="AP65" s="3">
        <v>0</v>
      </c>
      <c r="AQ65" s="3">
        <v>1</v>
      </c>
      <c r="AR65" s="3">
        <v>0</v>
      </c>
      <c r="AS65" s="3">
        <v>1</v>
      </c>
      <c r="AT65" s="3">
        <v>0</v>
      </c>
      <c r="AU65" s="3">
        <v>1</v>
      </c>
      <c r="AV65" s="40">
        <f t="shared" si="73"/>
        <v>5</v>
      </c>
      <c r="AW65" s="3">
        <v>1</v>
      </c>
      <c r="AX65" s="3">
        <v>0</v>
      </c>
      <c r="AY65" s="3">
        <v>0</v>
      </c>
      <c r="AZ65" s="3">
        <v>1</v>
      </c>
      <c r="BA65" s="3">
        <v>0</v>
      </c>
      <c r="BB65" s="3">
        <v>0</v>
      </c>
      <c r="BC65" s="40">
        <f t="shared" si="74"/>
        <v>2</v>
      </c>
      <c r="BD65" s="3">
        <v>1</v>
      </c>
      <c r="BE65" s="3">
        <v>1</v>
      </c>
      <c r="BF65" s="3">
        <v>0</v>
      </c>
      <c r="BG65" s="3">
        <v>0</v>
      </c>
      <c r="BH65" s="3">
        <v>1</v>
      </c>
      <c r="BI65" s="3">
        <v>1</v>
      </c>
      <c r="BJ65" s="3">
        <v>1</v>
      </c>
      <c r="BK65" s="3">
        <v>1</v>
      </c>
      <c r="BL65" s="40">
        <f t="shared" si="75"/>
        <v>6</v>
      </c>
      <c r="BO65" s="22">
        <f t="shared" si="76"/>
        <v>42</v>
      </c>
      <c r="BP65" s="22">
        <f t="shared" si="8"/>
        <v>77.777777777777786</v>
      </c>
    </row>
    <row r="66" spans="1:68" ht="18" x14ac:dyDescent="0.35">
      <c r="A66" s="2">
        <v>61</v>
      </c>
      <c r="B66" s="16" t="s">
        <v>156</v>
      </c>
      <c r="C66" s="20" t="s">
        <v>157</v>
      </c>
      <c r="D66" s="3">
        <v>1</v>
      </c>
      <c r="E66" s="3">
        <v>0</v>
      </c>
      <c r="F66" s="3">
        <v>1</v>
      </c>
      <c r="G66" s="3">
        <v>1</v>
      </c>
      <c r="H66" s="3">
        <v>0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9">
        <f t="shared" si="80"/>
        <v>9</v>
      </c>
      <c r="P66" s="3">
        <v>1</v>
      </c>
      <c r="Q66" s="3">
        <v>0</v>
      </c>
      <c r="R66" s="3">
        <v>1</v>
      </c>
      <c r="S66" s="3">
        <v>1</v>
      </c>
      <c r="T66" s="3">
        <v>1</v>
      </c>
      <c r="U66" s="3">
        <v>1</v>
      </c>
      <c r="V66" s="3">
        <v>1</v>
      </c>
      <c r="W66" s="39">
        <f t="shared" si="77"/>
        <v>6</v>
      </c>
      <c r="X66" s="3">
        <v>0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9">
        <f t="shared" si="78"/>
        <v>6</v>
      </c>
      <c r="AF66" s="3">
        <v>1</v>
      </c>
      <c r="AG66" s="3">
        <v>0</v>
      </c>
      <c r="AH66" s="3">
        <v>1</v>
      </c>
      <c r="AI66" s="3">
        <v>1</v>
      </c>
      <c r="AJ66" s="3">
        <v>1</v>
      </c>
      <c r="AK66" s="3">
        <v>1</v>
      </c>
      <c r="AL66" s="3">
        <v>1</v>
      </c>
      <c r="AM66" s="40">
        <f t="shared" si="79"/>
        <v>6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  <c r="AU66" s="3">
        <v>1</v>
      </c>
      <c r="AV66" s="40">
        <f t="shared" si="73"/>
        <v>8</v>
      </c>
      <c r="AW66" s="3">
        <v>1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40">
        <f t="shared" si="74"/>
        <v>6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3">
        <v>1</v>
      </c>
      <c r="BK66" s="3">
        <v>1</v>
      </c>
      <c r="BL66" s="40">
        <f t="shared" si="75"/>
        <v>8</v>
      </c>
      <c r="BO66" s="22">
        <f t="shared" si="76"/>
        <v>49</v>
      </c>
      <c r="BP66" s="22">
        <f t="shared" si="8"/>
        <v>90.740740740740748</v>
      </c>
    </row>
    <row r="67" spans="1:68" ht="18" x14ac:dyDescent="0.35">
      <c r="A67" s="2">
        <v>62</v>
      </c>
      <c r="B67" s="16" t="s">
        <v>158</v>
      </c>
      <c r="C67" s="20" t="s">
        <v>159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0</v>
      </c>
      <c r="O67" s="39">
        <f t="shared" si="80"/>
        <v>10</v>
      </c>
      <c r="P67" s="3">
        <v>1</v>
      </c>
      <c r="Q67" s="3">
        <v>1</v>
      </c>
      <c r="R67" s="3">
        <v>1</v>
      </c>
      <c r="S67" s="3">
        <v>1</v>
      </c>
      <c r="T67" s="3">
        <v>0</v>
      </c>
      <c r="U67" s="3">
        <v>1</v>
      </c>
      <c r="V67" s="3">
        <v>1</v>
      </c>
      <c r="W67" s="39">
        <f t="shared" si="77"/>
        <v>6</v>
      </c>
      <c r="X67" s="3">
        <v>1</v>
      </c>
      <c r="Y67" s="3">
        <v>1</v>
      </c>
      <c r="Z67" s="3">
        <v>1</v>
      </c>
      <c r="AA67" s="3">
        <v>1</v>
      </c>
      <c r="AB67" s="3">
        <v>0</v>
      </c>
      <c r="AC67" s="3">
        <v>1</v>
      </c>
      <c r="AD67" s="3">
        <v>1</v>
      </c>
      <c r="AE67" s="39">
        <f t="shared" si="78"/>
        <v>6</v>
      </c>
      <c r="AF67" s="3">
        <v>1</v>
      </c>
      <c r="AG67" s="3">
        <v>1</v>
      </c>
      <c r="AH67" s="3">
        <v>1</v>
      </c>
      <c r="AI67" s="3">
        <v>1</v>
      </c>
      <c r="AJ67" s="3">
        <v>0</v>
      </c>
      <c r="AK67" s="3">
        <v>1</v>
      </c>
      <c r="AL67" s="3">
        <v>1</v>
      </c>
      <c r="AM67" s="40">
        <f t="shared" si="79"/>
        <v>6</v>
      </c>
      <c r="AN67" s="3">
        <v>1</v>
      </c>
      <c r="AO67" s="3">
        <v>1</v>
      </c>
      <c r="AP67" s="3">
        <v>1</v>
      </c>
      <c r="AQ67" s="3">
        <v>1</v>
      </c>
      <c r="AR67" s="3">
        <v>1</v>
      </c>
      <c r="AS67" s="3">
        <v>1</v>
      </c>
      <c r="AT67" s="3">
        <v>1</v>
      </c>
      <c r="AU67" s="3">
        <v>1</v>
      </c>
      <c r="AV67" s="40">
        <f t="shared" si="73"/>
        <v>8</v>
      </c>
      <c r="AW67" s="3">
        <v>1</v>
      </c>
      <c r="AX67" s="3">
        <v>1</v>
      </c>
      <c r="AY67" s="3">
        <v>1</v>
      </c>
      <c r="AZ67" s="3">
        <v>1</v>
      </c>
      <c r="BA67" s="3">
        <v>1</v>
      </c>
      <c r="BB67" s="3">
        <v>1</v>
      </c>
      <c r="BC67" s="40">
        <f t="shared" si="74"/>
        <v>6</v>
      </c>
      <c r="BD67" s="3">
        <v>1</v>
      </c>
      <c r="BE67" s="3">
        <v>1</v>
      </c>
      <c r="BF67" s="3">
        <v>1</v>
      </c>
      <c r="BG67" s="3">
        <v>1</v>
      </c>
      <c r="BH67" s="3">
        <v>1</v>
      </c>
      <c r="BI67" s="3">
        <v>1</v>
      </c>
      <c r="BJ67" s="3">
        <v>1</v>
      </c>
      <c r="BK67" s="3">
        <v>1</v>
      </c>
      <c r="BL67" s="40">
        <f t="shared" si="75"/>
        <v>8</v>
      </c>
      <c r="BO67" s="22">
        <f t="shared" si="76"/>
        <v>50</v>
      </c>
      <c r="BP67" s="22">
        <f t="shared" si="8"/>
        <v>92.592592592592595</v>
      </c>
    </row>
    <row r="68" spans="1:68" ht="18" x14ac:dyDescent="0.35">
      <c r="A68" s="2">
        <v>63</v>
      </c>
      <c r="B68" s="16" t="s">
        <v>160</v>
      </c>
      <c r="C68" s="20" t="s">
        <v>161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0</v>
      </c>
      <c r="O68" s="39">
        <f t="shared" si="80"/>
        <v>10</v>
      </c>
      <c r="P68" s="3">
        <v>1</v>
      </c>
      <c r="Q68" s="3">
        <v>1</v>
      </c>
      <c r="R68" s="3">
        <v>1</v>
      </c>
      <c r="S68" s="3">
        <v>1</v>
      </c>
      <c r="T68" s="3">
        <v>0</v>
      </c>
      <c r="U68" s="3">
        <v>1</v>
      </c>
      <c r="V68" s="3">
        <v>1</v>
      </c>
      <c r="W68" s="39">
        <f t="shared" si="77"/>
        <v>6</v>
      </c>
      <c r="X68" s="3">
        <v>1</v>
      </c>
      <c r="Y68" s="3">
        <v>1</v>
      </c>
      <c r="Z68" s="3">
        <v>1</v>
      </c>
      <c r="AA68" s="3">
        <v>1</v>
      </c>
      <c r="AB68" s="3">
        <v>0</v>
      </c>
      <c r="AC68" s="3">
        <v>1</v>
      </c>
      <c r="AD68" s="3">
        <v>1</v>
      </c>
      <c r="AE68" s="39">
        <f t="shared" si="78"/>
        <v>6</v>
      </c>
      <c r="AF68" s="3">
        <v>1</v>
      </c>
      <c r="AG68" s="3">
        <v>1</v>
      </c>
      <c r="AH68" s="3">
        <v>1</v>
      </c>
      <c r="AI68" s="3">
        <v>1</v>
      </c>
      <c r="AJ68" s="3">
        <v>0</v>
      </c>
      <c r="AK68" s="3">
        <v>1</v>
      </c>
      <c r="AL68" s="3">
        <v>1</v>
      </c>
      <c r="AM68" s="40">
        <f t="shared" si="79"/>
        <v>6</v>
      </c>
      <c r="AN68" s="3">
        <v>1</v>
      </c>
      <c r="AO68" s="3">
        <v>1</v>
      </c>
      <c r="AP68" s="3">
        <v>1</v>
      </c>
      <c r="AQ68" s="3">
        <v>1</v>
      </c>
      <c r="AR68" s="3">
        <v>1</v>
      </c>
      <c r="AS68" s="3">
        <v>1</v>
      </c>
      <c r="AT68" s="3">
        <v>1</v>
      </c>
      <c r="AU68" s="3">
        <v>1</v>
      </c>
      <c r="AV68" s="40">
        <f t="shared" si="73"/>
        <v>8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40">
        <f t="shared" si="74"/>
        <v>6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>
        <v>1</v>
      </c>
      <c r="BJ68" s="3">
        <v>1</v>
      </c>
      <c r="BK68" s="3">
        <v>1</v>
      </c>
      <c r="BL68" s="40">
        <f t="shared" si="75"/>
        <v>8</v>
      </c>
      <c r="BO68" s="22">
        <f t="shared" si="76"/>
        <v>50</v>
      </c>
      <c r="BP68" s="22">
        <f t="shared" si="8"/>
        <v>92.592592592592595</v>
      </c>
    </row>
    <row r="69" spans="1:68" ht="18" x14ac:dyDescent="0.35">
      <c r="A69" s="2">
        <v>64</v>
      </c>
      <c r="B69" s="16" t="s">
        <v>162</v>
      </c>
      <c r="C69" s="20" t="s">
        <v>163</v>
      </c>
      <c r="D69" s="3">
        <v>1</v>
      </c>
      <c r="E69" s="3">
        <v>0</v>
      </c>
      <c r="F69" s="3">
        <v>1</v>
      </c>
      <c r="G69" s="3">
        <v>1</v>
      </c>
      <c r="H69" s="3">
        <v>0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1</v>
      </c>
      <c r="O69" s="39">
        <f t="shared" si="80"/>
        <v>9</v>
      </c>
      <c r="P69" s="3">
        <v>1</v>
      </c>
      <c r="Q69" s="3">
        <v>0</v>
      </c>
      <c r="R69" s="3">
        <v>1</v>
      </c>
      <c r="S69" s="3">
        <v>1</v>
      </c>
      <c r="T69" s="3">
        <v>1</v>
      </c>
      <c r="U69" s="3">
        <v>1</v>
      </c>
      <c r="V69" s="3">
        <v>1</v>
      </c>
      <c r="W69" s="39">
        <f t="shared" si="77"/>
        <v>6</v>
      </c>
      <c r="X69" s="3">
        <v>0</v>
      </c>
      <c r="Y69" s="3">
        <v>1</v>
      </c>
      <c r="Z69" s="3">
        <v>1</v>
      </c>
      <c r="AA69" s="3">
        <v>1</v>
      </c>
      <c r="AB69" s="3">
        <v>1</v>
      </c>
      <c r="AC69" s="3">
        <v>1</v>
      </c>
      <c r="AD69" s="3">
        <v>1</v>
      </c>
      <c r="AE69" s="39">
        <f t="shared" si="78"/>
        <v>6</v>
      </c>
      <c r="AF69" s="3">
        <v>1</v>
      </c>
      <c r="AG69" s="3">
        <v>0</v>
      </c>
      <c r="AH69" s="3">
        <v>1</v>
      </c>
      <c r="AI69" s="3">
        <v>1</v>
      </c>
      <c r="AJ69" s="3">
        <v>1</v>
      </c>
      <c r="AK69" s="3">
        <v>1</v>
      </c>
      <c r="AL69" s="3">
        <v>1</v>
      </c>
      <c r="AM69" s="40">
        <f t="shared" si="79"/>
        <v>6</v>
      </c>
      <c r="AN69" s="3">
        <v>1</v>
      </c>
      <c r="AO69" s="3">
        <v>1</v>
      </c>
      <c r="AP69" s="3">
        <v>1</v>
      </c>
      <c r="AQ69" s="3">
        <v>1</v>
      </c>
      <c r="AR69" s="3">
        <v>1</v>
      </c>
      <c r="AS69" s="3">
        <v>1</v>
      </c>
      <c r="AT69" s="3">
        <v>1</v>
      </c>
      <c r="AU69" s="3">
        <v>1</v>
      </c>
      <c r="AV69" s="40">
        <f t="shared" ref="AV69:AV70" si="81">SUM(AN69:AU69)</f>
        <v>8</v>
      </c>
      <c r="AW69" s="3">
        <v>1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 s="40">
        <f t="shared" ref="BC69:BC70" si="82">SUM(AW69:BB69)</f>
        <v>6</v>
      </c>
      <c r="BD69" s="3">
        <v>1</v>
      </c>
      <c r="BE69" s="3">
        <v>1</v>
      </c>
      <c r="BF69" s="3">
        <v>1</v>
      </c>
      <c r="BG69" s="3">
        <v>1</v>
      </c>
      <c r="BH69" s="3">
        <v>1</v>
      </c>
      <c r="BI69" s="3">
        <v>1</v>
      </c>
      <c r="BJ69" s="3">
        <v>1</v>
      </c>
      <c r="BK69" s="3">
        <v>1</v>
      </c>
      <c r="BL69" s="40">
        <f t="shared" ref="BL69:BL70" si="83">SUM(BD69:BK69)</f>
        <v>8</v>
      </c>
      <c r="BO69" s="22">
        <f t="shared" si="76"/>
        <v>49</v>
      </c>
      <c r="BP69" s="22">
        <f t="shared" si="8"/>
        <v>90.740740740740748</v>
      </c>
    </row>
    <row r="70" spans="1:68" ht="18" x14ac:dyDescent="0.35">
      <c r="A70" s="2">
        <v>65</v>
      </c>
      <c r="B70" s="17" t="s">
        <v>164</v>
      </c>
      <c r="C70" s="21" t="s">
        <v>165</v>
      </c>
      <c r="D70" s="3">
        <v>1</v>
      </c>
      <c r="E70" s="3">
        <v>0</v>
      </c>
      <c r="F70" s="3">
        <v>1</v>
      </c>
      <c r="G70" s="3">
        <v>1</v>
      </c>
      <c r="H70" s="3">
        <v>0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9">
        <f t="shared" si="80"/>
        <v>9</v>
      </c>
      <c r="P70" s="3">
        <v>1</v>
      </c>
      <c r="Q70" s="3">
        <v>0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9">
        <f t="shared" si="77"/>
        <v>6</v>
      </c>
      <c r="X70" s="3">
        <v>0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9">
        <f t="shared" si="78"/>
        <v>6</v>
      </c>
      <c r="AF70" s="3">
        <v>1</v>
      </c>
      <c r="AG70" s="3">
        <v>0</v>
      </c>
      <c r="AH70" s="3">
        <v>1</v>
      </c>
      <c r="AI70" s="3">
        <v>1</v>
      </c>
      <c r="AJ70" s="3">
        <v>1</v>
      </c>
      <c r="AK70" s="3">
        <v>1</v>
      </c>
      <c r="AL70" s="3">
        <v>1</v>
      </c>
      <c r="AM70" s="40">
        <f t="shared" si="79"/>
        <v>6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 s="3">
        <v>1</v>
      </c>
      <c r="AT70" s="3">
        <v>1</v>
      </c>
      <c r="AU70" s="3">
        <v>1</v>
      </c>
      <c r="AV70" s="40">
        <f t="shared" si="81"/>
        <v>8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 s="40">
        <f t="shared" si="82"/>
        <v>6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  <c r="BI70" s="3">
        <v>1</v>
      </c>
      <c r="BJ70" s="3">
        <v>1</v>
      </c>
      <c r="BK70" s="3">
        <v>1</v>
      </c>
      <c r="BL70" s="3">
        <f t="shared" si="83"/>
        <v>8</v>
      </c>
      <c r="BO70" s="22">
        <f t="shared" si="76"/>
        <v>49</v>
      </c>
      <c r="BP70" s="22">
        <f t="shared" si="8"/>
        <v>90.740740740740748</v>
      </c>
    </row>
  </sheetData>
  <mergeCells count="17">
    <mergeCell ref="AF2:AL2"/>
    <mergeCell ref="AM2:AM3"/>
    <mergeCell ref="A3:A4"/>
    <mergeCell ref="B3:B4"/>
    <mergeCell ref="A5:B5"/>
    <mergeCell ref="D2:N2"/>
    <mergeCell ref="O2:O3"/>
    <mergeCell ref="P2:V2"/>
    <mergeCell ref="W2:W3"/>
    <mergeCell ref="X2:AD2"/>
    <mergeCell ref="AE2:AE3"/>
    <mergeCell ref="BL2:BL3"/>
    <mergeCell ref="AN2:AU2"/>
    <mergeCell ref="AV2:AV3"/>
    <mergeCell ref="AW2:BB2"/>
    <mergeCell ref="BC2:BC3"/>
    <mergeCell ref="BD2:BK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0"/>
  <sheetViews>
    <sheetView topLeftCell="AM1" zoomScale="70" zoomScaleNormal="70" workbookViewId="0">
      <selection activeCell="BN6" sqref="BN6:BN70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2" width="9.109375" style="15" hidden="1" customWidth="1"/>
    <col min="13" max="13" width="9.109375" style="15" customWidth="1"/>
    <col min="14" max="20" width="9.109375" style="15" hidden="1" customWidth="1"/>
    <col min="21" max="21" width="9.109375" style="15" customWidth="1"/>
    <col min="22" max="28" width="9.109375" style="15" hidden="1" customWidth="1"/>
    <col min="29" max="29" width="9.109375" style="15"/>
    <col min="30" max="37" width="9.109375" style="15" hidden="1" customWidth="1"/>
    <col min="38" max="38" width="9.109375" style="15"/>
    <col min="39" max="44" width="9.109375" style="15" customWidth="1"/>
    <col min="45" max="45" width="9.109375" style="15"/>
    <col min="46" max="52" width="9.109375" style="15" customWidth="1"/>
    <col min="53" max="53" width="9.109375" style="15"/>
    <col min="54" max="61" width="9.109375" style="15" customWidth="1"/>
    <col min="62" max="16384" width="9.109375" style="15"/>
  </cols>
  <sheetData>
    <row r="1" spans="1:66" ht="15.75" thickBot="1" x14ac:dyDescent="0.3"/>
    <row r="2" spans="1:66" ht="15.75" customHeight="1" thickBot="1" x14ac:dyDescent="0.3">
      <c r="D2" s="64" t="s">
        <v>35</v>
      </c>
      <c r="E2" s="64"/>
      <c r="F2" s="64"/>
      <c r="G2" s="64"/>
      <c r="H2" s="64"/>
      <c r="I2" s="64"/>
      <c r="J2" s="64"/>
      <c r="K2" s="64"/>
      <c r="L2" s="64"/>
      <c r="M2" s="60" t="s">
        <v>16</v>
      </c>
      <c r="N2" s="63" t="s">
        <v>7</v>
      </c>
      <c r="O2" s="63"/>
      <c r="P2" s="63"/>
      <c r="Q2" s="63"/>
      <c r="R2" s="63"/>
      <c r="S2" s="63"/>
      <c r="T2" s="63"/>
      <c r="U2" s="60" t="s">
        <v>17</v>
      </c>
      <c r="V2" s="64" t="s">
        <v>7</v>
      </c>
      <c r="W2" s="64"/>
      <c r="X2" s="64"/>
      <c r="Y2" s="64"/>
      <c r="Z2" s="64"/>
      <c r="AA2" s="64"/>
      <c r="AB2" s="64"/>
      <c r="AC2" s="60" t="s">
        <v>18</v>
      </c>
      <c r="AD2" s="56" t="s">
        <v>14</v>
      </c>
      <c r="AE2" s="53"/>
      <c r="AF2" s="53"/>
      <c r="AG2" s="53"/>
      <c r="AH2" s="53"/>
      <c r="AI2" s="53"/>
      <c r="AJ2" s="53"/>
      <c r="AK2" s="53"/>
      <c r="AL2" s="52" t="s">
        <v>19</v>
      </c>
      <c r="AM2" s="53" t="s">
        <v>14</v>
      </c>
      <c r="AN2" s="53"/>
      <c r="AO2" s="53"/>
      <c r="AP2" s="53"/>
      <c r="AQ2" s="53"/>
      <c r="AR2" s="53"/>
      <c r="AS2" s="54" t="s">
        <v>168</v>
      </c>
      <c r="AT2" s="53" t="s">
        <v>172</v>
      </c>
      <c r="AU2" s="53"/>
      <c r="AV2" s="53"/>
      <c r="AW2" s="53"/>
      <c r="AX2" s="53"/>
      <c r="AY2" s="53"/>
      <c r="AZ2" s="53"/>
      <c r="BA2" s="52" t="s">
        <v>169</v>
      </c>
      <c r="BB2" s="53"/>
      <c r="BC2" s="53"/>
      <c r="BD2" s="53"/>
      <c r="BE2" s="53"/>
      <c r="BF2" s="53"/>
      <c r="BG2" s="53"/>
      <c r="BH2" s="53"/>
      <c r="BI2" s="53"/>
      <c r="BJ2" s="52" t="s">
        <v>170</v>
      </c>
    </row>
    <row r="3" spans="1:66" x14ac:dyDescent="0.25">
      <c r="A3" s="58"/>
      <c r="B3" s="59"/>
      <c r="C3" s="29"/>
      <c r="D3" s="4" t="s">
        <v>13</v>
      </c>
      <c r="E3" s="4" t="s">
        <v>8</v>
      </c>
      <c r="F3" s="4" t="s">
        <v>12</v>
      </c>
      <c r="G3" s="4" t="s">
        <v>8</v>
      </c>
      <c r="H3" s="4" t="s">
        <v>9</v>
      </c>
      <c r="I3" s="4" t="s">
        <v>12</v>
      </c>
      <c r="J3" s="4" t="s">
        <v>13</v>
      </c>
      <c r="K3" s="4" t="s">
        <v>8</v>
      </c>
      <c r="L3" s="4" t="s">
        <v>9</v>
      </c>
      <c r="M3" s="61"/>
      <c r="N3" s="4" t="s">
        <v>12</v>
      </c>
      <c r="O3" s="4" t="s">
        <v>13</v>
      </c>
      <c r="P3" s="4" t="s">
        <v>8</v>
      </c>
      <c r="Q3" s="4" t="s">
        <v>9</v>
      </c>
      <c r="R3" s="4" t="s">
        <v>13</v>
      </c>
      <c r="S3" s="4" t="s">
        <v>8</v>
      </c>
      <c r="T3" s="4" t="s">
        <v>9</v>
      </c>
      <c r="U3" s="61"/>
      <c r="V3" s="4" t="s">
        <v>13</v>
      </c>
      <c r="W3" s="4" t="s">
        <v>8</v>
      </c>
      <c r="X3" s="4" t="s">
        <v>9</v>
      </c>
      <c r="Y3" s="4" t="s">
        <v>12</v>
      </c>
      <c r="Z3" s="4" t="s">
        <v>13</v>
      </c>
      <c r="AA3" s="4" t="s">
        <v>8</v>
      </c>
      <c r="AB3" s="4" t="s">
        <v>12</v>
      </c>
      <c r="AC3" s="61"/>
      <c r="AD3" s="30" t="s">
        <v>6</v>
      </c>
      <c r="AE3" s="30" t="s">
        <v>1</v>
      </c>
      <c r="AF3" s="30" t="s">
        <v>2</v>
      </c>
      <c r="AG3" s="30" t="s">
        <v>6</v>
      </c>
      <c r="AH3" s="30" t="s">
        <v>1</v>
      </c>
      <c r="AI3" s="30" t="s">
        <v>2</v>
      </c>
      <c r="AJ3" s="30" t="s">
        <v>5</v>
      </c>
      <c r="AK3" s="30" t="s">
        <v>6</v>
      </c>
      <c r="AL3" s="52"/>
      <c r="AM3" s="34" t="s">
        <v>1</v>
      </c>
      <c r="AN3" s="34" t="s">
        <v>2</v>
      </c>
      <c r="AO3" s="34" t="s">
        <v>6</v>
      </c>
      <c r="AP3" s="34" t="s">
        <v>1</v>
      </c>
      <c r="AQ3" s="34" t="s">
        <v>2</v>
      </c>
      <c r="AR3" s="34" t="s">
        <v>5</v>
      </c>
      <c r="AS3" s="55"/>
      <c r="AT3" s="34" t="s">
        <v>6</v>
      </c>
      <c r="AU3" s="34" t="s">
        <v>1</v>
      </c>
      <c r="AV3" s="34" t="s">
        <v>2</v>
      </c>
      <c r="AW3" s="34" t="s">
        <v>5</v>
      </c>
      <c r="AX3" s="48" t="s">
        <v>1</v>
      </c>
      <c r="AY3" s="34" t="s">
        <v>1</v>
      </c>
      <c r="AZ3" s="34" t="s">
        <v>2</v>
      </c>
      <c r="BA3" s="52"/>
      <c r="BB3" s="34" t="s">
        <v>1</v>
      </c>
      <c r="BC3" s="34" t="s">
        <v>2</v>
      </c>
      <c r="BD3" s="34" t="s">
        <v>5</v>
      </c>
      <c r="BE3" s="34" t="s">
        <v>6</v>
      </c>
      <c r="BF3" s="34" t="s">
        <v>1</v>
      </c>
      <c r="BG3" s="34" t="s">
        <v>2</v>
      </c>
      <c r="BH3" s="34" t="s">
        <v>2</v>
      </c>
      <c r="BI3" s="34" t="s">
        <v>4</v>
      </c>
      <c r="BJ3" s="52"/>
    </row>
    <row r="4" spans="1:66" x14ac:dyDescent="0.25">
      <c r="A4" s="58"/>
      <c r="B4" s="59"/>
      <c r="C4" s="35" t="s">
        <v>167</v>
      </c>
      <c r="D4" s="6">
        <v>14</v>
      </c>
      <c r="E4" s="6">
        <v>15</v>
      </c>
      <c r="F4" s="6">
        <v>19</v>
      </c>
      <c r="G4" s="6">
        <v>22</v>
      </c>
      <c r="H4" s="6">
        <v>23</v>
      </c>
      <c r="I4" s="6">
        <v>26</v>
      </c>
      <c r="J4" s="6">
        <v>28</v>
      </c>
      <c r="K4" s="6">
        <v>29</v>
      </c>
      <c r="L4" s="6">
        <v>30</v>
      </c>
      <c r="M4" s="6"/>
      <c r="N4" s="30">
        <v>2</v>
      </c>
      <c r="O4" s="30">
        <v>4</v>
      </c>
      <c r="P4" s="30">
        <v>5</v>
      </c>
      <c r="Q4" s="30">
        <v>6</v>
      </c>
      <c r="R4" s="30">
        <v>11</v>
      </c>
      <c r="S4" s="30">
        <v>12</v>
      </c>
      <c r="T4" s="30">
        <v>13</v>
      </c>
      <c r="U4" s="30"/>
      <c r="V4" s="30">
        <v>18</v>
      </c>
      <c r="W4" s="30">
        <v>19</v>
      </c>
      <c r="X4" s="30">
        <v>20</v>
      </c>
      <c r="Y4" s="30">
        <v>23</v>
      </c>
      <c r="Z4" s="30">
        <v>25</v>
      </c>
      <c r="AA4" s="30">
        <v>26</v>
      </c>
      <c r="AB4" s="30">
        <v>30</v>
      </c>
      <c r="AC4" s="27"/>
      <c r="AD4" s="30">
        <v>1</v>
      </c>
      <c r="AE4" s="30">
        <v>2</v>
      </c>
      <c r="AF4" s="30">
        <v>3</v>
      </c>
      <c r="AG4" s="30">
        <v>8</v>
      </c>
      <c r="AH4" s="30">
        <v>9</v>
      </c>
      <c r="AI4" s="30">
        <v>10</v>
      </c>
      <c r="AJ4" s="30">
        <v>13</v>
      </c>
      <c r="AK4" s="30">
        <v>15</v>
      </c>
      <c r="AL4" s="7"/>
      <c r="AM4" s="34">
        <v>16</v>
      </c>
      <c r="AN4" s="34">
        <v>17</v>
      </c>
      <c r="AO4" s="34">
        <v>22</v>
      </c>
      <c r="AP4" s="34">
        <v>23</v>
      </c>
      <c r="AQ4" s="34">
        <v>24</v>
      </c>
      <c r="AR4" s="34">
        <v>27</v>
      </c>
      <c r="AS4" s="7"/>
      <c r="AT4" s="34">
        <v>6</v>
      </c>
      <c r="AU4" s="34">
        <v>7</v>
      </c>
      <c r="AV4" s="34">
        <v>8</v>
      </c>
      <c r="AW4" s="34">
        <v>11</v>
      </c>
      <c r="AX4" s="48">
        <v>14</v>
      </c>
      <c r="AY4" s="34">
        <v>14</v>
      </c>
      <c r="AZ4" s="34">
        <v>15</v>
      </c>
      <c r="BA4" s="7"/>
      <c r="BB4" s="34">
        <v>21</v>
      </c>
      <c r="BC4" s="34">
        <v>22</v>
      </c>
      <c r="BD4" s="34">
        <v>25</v>
      </c>
      <c r="BE4" s="34">
        <v>27</v>
      </c>
      <c r="BF4" s="34">
        <v>28</v>
      </c>
      <c r="BG4" s="34">
        <v>29</v>
      </c>
      <c r="BH4" s="34">
        <v>29</v>
      </c>
      <c r="BI4" s="34">
        <v>31</v>
      </c>
      <c r="BJ4" s="7"/>
    </row>
    <row r="5" spans="1:66" s="26" customFormat="1" ht="21" customHeight="1" x14ac:dyDescent="0.25">
      <c r="A5" s="57" t="s">
        <v>0</v>
      </c>
      <c r="B5" s="57"/>
      <c r="C5" s="28"/>
      <c r="D5" s="24">
        <v>1</v>
      </c>
      <c r="E5" s="24">
        <v>1</v>
      </c>
      <c r="F5" s="25">
        <v>1</v>
      </c>
      <c r="G5" s="25">
        <v>1</v>
      </c>
      <c r="H5" s="25">
        <v>1</v>
      </c>
      <c r="I5" s="25">
        <v>1</v>
      </c>
      <c r="J5" s="25">
        <v>1</v>
      </c>
      <c r="K5" s="25">
        <v>1</v>
      </c>
      <c r="L5" s="25">
        <v>1</v>
      </c>
      <c r="M5" s="36">
        <f t="shared" ref="M5:M35" si="0">SUM(D5:L5)</f>
        <v>9</v>
      </c>
      <c r="N5" s="25">
        <v>1</v>
      </c>
      <c r="O5" s="25">
        <v>1</v>
      </c>
      <c r="P5" s="25">
        <v>1</v>
      </c>
      <c r="Q5" s="25">
        <v>1</v>
      </c>
      <c r="R5" s="25">
        <v>1</v>
      </c>
      <c r="S5" s="25">
        <v>1</v>
      </c>
      <c r="T5" s="25">
        <v>1</v>
      </c>
      <c r="U5" s="36">
        <f t="shared" ref="U5:U35" si="1">SUM(N5:T5)</f>
        <v>7</v>
      </c>
      <c r="V5" s="25">
        <v>1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B5" s="25">
        <v>1</v>
      </c>
      <c r="AC5" s="36">
        <f t="shared" ref="AC5:AC35" si="2">SUM(V5:AB5)</f>
        <v>7</v>
      </c>
      <c r="AD5" s="25">
        <v>1</v>
      </c>
      <c r="AE5" s="24">
        <v>1</v>
      </c>
      <c r="AF5" s="25">
        <v>1</v>
      </c>
      <c r="AG5" s="24">
        <v>1</v>
      </c>
      <c r="AH5" s="25">
        <v>1</v>
      </c>
      <c r="AI5" s="24">
        <v>1</v>
      </c>
      <c r="AJ5" s="25">
        <v>1</v>
      </c>
      <c r="AK5" s="25">
        <v>1</v>
      </c>
      <c r="AL5" s="38">
        <f t="shared" ref="AL5:AL35" si="3">SUM(AD5:AK5)</f>
        <v>8</v>
      </c>
      <c r="AM5" s="24">
        <v>1</v>
      </c>
      <c r="AN5" s="25">
        <v>1</v>
      </c>
      <c r="AO5" s="24">
        <v>1</v>
      </c>
      <c r="AP5" s="25">
        <v>1</v>
      </c>
      <c r="AQ5" s="24">
        <v>1</v>
      </c>
      <c r="AR5" s="25">
        <v>1</v>
      </c>
      <c r="AS5" s="44">
        <f t="shared" ref="AS5:AS36" si="4">SUM(AM5:AR5)</f>
        <v>6</v>
      </c>
      <c r="AT5" s="24">
        <v>1</v>
      </c>
      <c r="AU5" s="24">
        <v>1</v>
      </c>
      <c r="AV5" s="25">
        <v>1</v>
      </c>
      <c r="AW5" s="24">
        <v>1</v>
      </c>
      <c r="AX5" s="25">
        <v>1</v>
      </c>
      <c r="AY5" s="25">
        <v>1</v>
      </c>
      <c r="AZ5" s="24">
        <v>1</v>
      </c>
      <c r="BA5" s="38">
        <f t="shared" ref="BA5:BA36" si="5">SUM(AT5:AZ5)</f>
        <v>7</v>
      </c>
      <c r="BB5" s="24">
        <v>1</v>
      </c>
      <c r="BC5" s="24">
        <v>1</v>
      </c>
      <c r="BD5" s="24">
        <v>1</v>
      </c>
      <c r="BE5" s="24">
        <v>1</v>
      </c>
      <c r="BF5" s="24">
        <v>1</v>
      </c>
      <c r="BG5" s="24">
        <v>1</v>
      </c>
      <c r="BH5" s="24">
        <v>1</v>
      </c>
      <c r="BI5" s="25">
        <v>1</v>
      </c>
      <c r="BJ5" s="38">
        <f t="shared" ref="BJ5:BJ36" si="6">SUM(BB5:BI5)</f>
        <v>8</v>
      </c>
      <c r="BM5" s="28">
        <f t="shared" ref="BM5:BM36" si="7">M5+U5+AC5+AL5+AS5+BA5+BJ5</f>
        <v>52</v>
      </c>
      <c r="BN5" s="28"/>
    </row>
    <row r="6" spans="1:66" ht="18.75" x14ac:dyDescent="0.3">
      <c r="A6" s="2">
        <v>1</v>
      </c>
      <c r="B6" s="16" t="s">
        <v>36</v>
      </c>
      <c r="C6" s="20" t="s">
        <v>37</v>
      </c>
      <c r="D6" s="3">
        <v>1</v>
      </c>
      <c r="E6" s="3">
        <v>1</v>
      </c>
      <c r="F6" s="3">
        <v>1</v>
      </c>
      <c r="G6" s="3">
        <v>0</v>
      </c>
      <c r="H6" s="3">
        <v>1</v>
      </c>
      <c r="I6" s="3">
        <v>1</v>
      </c>
      <c r="J6" s="3">
        <v>0</v>
      </c>
      <c r="K6" s="3">
        <v>1</v>
      </c>
      <c r="L6" s="3">
        <v>1</v>
      </c>
      <c r="M6" s="39">
        <f t="shared" si="0"/>
        <v>7</v>
      </c>
      <c r="N6" s="3">
        <v>1</v>
      </c>
      <c r="O6" s="3">
        <v>0</v>
      </c>
      <c r="P6" s="3">
        <v>1</v>
      </c>
      <c r="Q6" s="3">
        <v>1</v>
      </c>
      <c r="R6" s="3">
        <v>0</v>
      </c>
      <c r="S6" s="3">
        <v>1</v>
      </c>
      <c r="T6" s="3">
        <v>1</v>
      </c>
      <c r="U6" s="39">
        <f t="shared" si="1"/>
        <v>5</v>
      </c>
      <c r="V6" s="3">
        <v>1</v>
      </c>
      <c r="W6" s="3">
        <v>0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9">
        <f t="shared" si="2"/>
        <v>6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40">
        <f t="shared" si="3"/>
        <v>8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40">
        <f t="shared" si="4"/>
        <v>6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43">
        <f t="shared" si="5"/>
        <v>7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43">
        <f t="shared" si="6"/>
        <v>8</v>
      </c>
      <c r="BM6" s="22">
        <f t="shared" si="7"/>
        <v>47</v>
      </c>
      <c r="BN6" s="22">
        <f>BM6/52*100</f>
        <v>90.384615384615387</v>
      </c>
    </row>
    <row r="7" spans="1:66" ht="18.75" x14ac:dyDescent="0.3">
      <c r="A7" s="2">
        <v>2</v>
      </c>
      <c r="B7" s="16" t="s">
        <v>38</v>
      </c>
      <c r="C7" s="20" t="s">
        <v>39</v>
      </c>
      <c r="D7" s="3">
        <v>0</v>
      </c>
      <c r="E7" s="3">
        <v>1</v>
      </c>
      <c r="F7" s="3">
        <v>1</v>
      </c>
      <c r="G7" s="3">
        <v>1</v>
      </c>
      <c r="H7" s="3">
        <v>0</v>
      </c>
      <c r="I7" s="3">
        <v>1</v>
      </c>
      <c r="J7" s="3">
        <v>1</v>
      </c>
      <c r="K7" s="3">
        <v>1</v>
      </c>
      <c r="L7" s="3">
        <v>1</v>
      </c>
      <c r="M7" s="39">
        <f t="shared" si="0"/>
        <v>7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0</v>
      </c>
      <c r="U7" s="39">
        <f t="shared" si="1"/>
        <v>6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9">
        <f t="shared" si="2"/>
        <v>7</v>
      </c>
      <c r="AD7" s="3">
        <v>1</v>
      </c>
      <c r="AE7" s="3">
        <v>1</v>
      </c>
      <c r="AF7" s="3">
        <v>1</v>
      </c>
      <c r="AG7" s="3">
        <v>1</v>
      </c>
      <c r="AH7" s="3">
        <v>0</v>
      </c>
      <c r="AI7" s="3">
        <v>1</v>
      </c>
      <c r="AJ7" s="3">
        <v>1</v>
      </c>
      <c r="AK7" s="3">
        <v>1</v>
      </c>
      <c r="AL7" s="40">
        <f t="shared" si="3"/>
        <v>7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40">
        <f t="shared" si="4"/>
        <v>6</v>
      </c>
      <c r="AT7" s="3">
        <v>0</v>
      </c>
      <c r="AU7" s="3">
        <v>1</v>
      </c>
      <c r="AV7" s="3">
        <v>0</v>
      </c>
      <c r="AW7" s="3">
        <v>1</v>
      </c>
      <c r="AX7" s="3">
        <v>0</v>
      </c>
      <c r="AY7" s="3">
        <v>1</v>
      </c>
      <c r="AZ7" s="3">
        <v>1</v>
      </c>
      <c r="BA7" s="43">
        <f t="shared" si="5"/>
        <v>4</v>
      </c>
      <c r="BB7" s="3">
        <v>1</v>
      </c>
      <c r="BC7" s="3">
        <v>0</v>
      </c>
      <c r="BD7" s="3">
        <v>1</v>
      </c>
      <c r="BE7" s="3">
        <v>0</v>
      </c>
      <c r="BF7" s="3">
        <v>1</v>
      </c>
      <c r="BG7" s="3">
        <v>1</v>
      </c>
      <c r="BH7" s="3">
        <v>1</v>
      </c>
      <c r="BI7" s="3">
        <v>1</v>
      </c>
      <c r="BJ7" s="43">
        <f t="shared" si="6"/>
        <v>6</v>
      </c>
      <c r="BM7" s="22">
        <f t="shared" si="7"/>
        <v>43</v>
      </c>
      <c r="BN7" s="22">
        <f t="shared" ref="BN7:BN70" si="8">BM7/52*100</f>
        <v>82.692307692307693</v>
      </c>
    </row>
    <row r="8" spans="1:66" ht="18.75" x14ac:dyDescent="0.3">
      <c r="A8" s="2">
        <v>3</v>
      </c>
      <c r="B8" s="16" t="s">
        <v>40</v>
      </c>
      <c r="C8" s="20" t="s">
        <v>41</v>
      </c>
      <c r="D8" s="3">
        <v>1</v>
      </c>
      <c r="E8" s="3">
        <v>1</v>
      </c>
      <c r="F8" s="3">
        <v>1</v>
      </c>
      <c r="G8" s="3">
        <v>0</v>
      </c>
      <c r="H8" s="3">
        <v>1</v>
      </c>
      <c r="I8" s="3">
        <v>1</v>
      </c>
      <c r="J8" s="3">
        <v>0</v>
      </c>
      <c r="K8" s="3">
        <v>1</v>
      </c>
      <c r="L8" s="3">
        <v>1</v>
      </c>
      <c r="M8" s="39">
        <f t="shared" ref="M8" si="9">SUM(D8:L8)</f>
        <v>7</v>
      </c>
      <c r="N8" s="3">
        <v>1</v>
      </c>
      <c r="O8" s="3">
        <v>0</v>
      </c>
      <c r="P8" s="3">
        <v>1</v>
      </c>
      <c r="Q8" s="3">
        <v>1</v>
      </c>
      <c r="R8" s="3">
        <v>0</v>
      </c>
      <c r="S8" s="3">
        <v>1</v>
      </c>
      <c r="T8" s="3">
        <v>1</v>
      </c>
      <c r="U8" s="39">
        <f t="shared" ref="U8" si="10">SUM(N8:T8)</f>
        <v>5</v>
      </c>
      <c r="V8" s="3">
        <v>1</v>
      </c>
      <c r="W8" s="3">
        <v>0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9">
        <f t="shared" ref="AC8" si="11">SUM(V8:AB8)</f>
        <v>6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40">
        <f t="shared" ref="AL8" si="12">SUM(AD8:AK8)</f>
        <v>8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40">
        <f t="shared" si="4"/>
        <v>6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43">
        <f t="shared" si="5"/>
        <v>7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43">
        <f t="shared" si="6"/>
        <v>8</v>
      </c>
      <c r="BM8" s="22">
        <f t="shared" si="7"/>
        <v>47</v>
      </c>
      <c r="BN8" s="22">
        <f t="shared" si="8"/>
        <v>90.384615384615387</v>
      </c>
    </row>
    <row r="9" spans="1:66" ht="18.75" x14ac:dyDescent="0.3">
      <c r="A9" s="2">
        <v>4</v>
      </c>
      <c r="B9" s="16" t="s">
        <v>42</v>
      </c>
      <c r="C9" s="20" t="s">
        <v>43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9">
        <f t="shared" si="0"/>
        <v>9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1</v>
      </c>
      <c r="T9" s="3">
        <v>1</v>
      </c>
      <c r="U9" s="39">
        <f t="shared" si="1"/>
        <v>6</v>
      </c>
      <c r="V9" s="3">
        <v>1</v>
      </c>
      <c r="W9" s="3">
        <v>0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9">
        <f t="shared" si="2"/>
        <v>6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0</v>
      </c>
      <c r="AL9" s="40">
        <f t="shared" si="3"/>
        <v>7</v>
      </c>
      <c r="AM9" s="3">
        <v>0</v>
      </c>
      <c r="AN9" s="3">
        <v>1</v>
      </c>
      <c r="AO9" s="3">
        <v>0</v>
      </c>
      <c r="AP9" s="3">
        <v>0</v>
      </c>
      <c r="AQ9" s="3">
        <v>1</v>
      </c>
      <c r="AR9" s="3">
        <v>1</v>
      </c>
      <c r="AS9" s="40">
        <f t="shared" si="4"/>
        <v>3</v>
      </c>
      <c r="AT9" s="3">
        <v>1</v>
      </c>
      <c r="AU9" s="3">
        <v>0</v>
      </c>
      <c r="AV9" s="3">
        <v>1</v>
      </c>
      <c r="AW9" s="3">
        <v>0</v>
      </c>
      <c r="AX9" s="3">
        <v>1</v>
      </c>
      <c r="AY9" s="3">
        <v>0</v>
      </c>
      <c r="AZ9" s="3">
        <v>1</v>
      </c>
      <c r="BA9" s="43">
        <f t="shared" si="5"/>
        <v>4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43">
        <f t="shared" si="6"/>
        <v>8</v>
      </c>
      <c r="BM9" s="22">
        <f t="shared" si="7"/>
        <v>43</v>
      </c>
      <c r="BN9" s="22">
        <f t="shared" si="8"/>
        <v>82.692307692307693</v>
      </c>
    </row>
    <row r="10" spans="1:66" ht="18.75" x14ac:dyDescent="0.3">
      <c r="A10" s="2">
        <v>5</v>
      </c>
      <c r="B10" s="16" t="s">
        <v>44</v>
      </c>
      <c r="C10" s="20" t="s">
        <v>45</v>
      </c>
      <c r="D10" s="3">
        <v>1</v>
      </c>
      <c r="E10" s="3">
        <v>1</v>
      </c>
      <c r="F10" s="3">
        <v>1</v>
      </c>
      <c r="G10" s="3">
        <v>0</v>
      </c>
      <c r="H10" s="3">
        <v>1</v>
      </c>
      <c r="I10" s="3">
        <v>1</v>
      </c>
      <c r="J10" s="3">
        <v>0</v>
      </c>
      <c r="K10" s="3">
        <v>1</v>
      </c>
      <c r="L10" s="3">
        <v>1</v>
      </c>
      <c r="M10" s="39">
        <f t="shared" ref="M10:M11" si="13">SUM(D10:L10)</f>
        <v>7</v>
      </c>
      <c r="N10" s="3">
        <v>1</v>
      </c>
      <c r="O10" s="3">
        <v>0</v>
      </c>
      <c r="P10" s="3">
        <v>1</v>
      </c>
      <c r="Q10" s="3">
        <v>1</v>
      </c>
      <c r="R10" s="3">
        <v>0</v>
      </c>
      <c r="S10" s="3">
        <v>1</v>
      </c>
      <c r="T10" s="3">
        <v>1</v>
      </c>
      <c r="U10" s="39">
        <f t="shared" ref="U10:U11" si="14">SUM(N10:T10)</f>
        <v>5</v>
      </c>
      <c r="V10" s="3">
        <v>1</v>
      </c>
      <c r="W10" s="3">
        <v>0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9">
        <f t="shared" ref="AC10:AC11" si="15">SUM(V10:AB10)</f>
        <v>6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40">
        <f t="shared" ref="AL10:AL11" si="16">SUM(AD10:AK10)</f>
        <v>8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40">
        <f t="shared" si="4"/>
        <v>6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43">
        <f t="shared" si="5"/>
        <v>7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43">
        <f t="shared" si="6"/>
        <v>8</v>
      </c>
      <c r="BM10" s="22">
        <f t="shared" si="7"/>
        <v>47</v>
      </c>
      <c r="BN10" s="22">
        <f t="shared" si="8"/>
        <v>90.384615384615387</v>
      </c>
    </row>
    <row r="11" spans="1:66" ht="18.75" x14ac:dyDescent="0.3">
      <c r="A11" s="2">
        <v>6</v>
      </c>
      <c r="B11" s="16" t="s">
        <v>46</v>
      </c>
      <c r="C11" s="20" t="s">
        <v>47</v>
      </c>
      <c r="D11" s="3">
        <v>0</v>
      </c>
      <c r="E11" s="3">
        <v>1</v>
      </c>
      <c r="F11" s="3">
        <v>1</v>
      </c>
      <c r="G11" s="3">
        <v>1</v>
      </c>
      <c r="H11" s="3">
        <v>0</v>
      </c>
      <c r="I11" s="3">
        <v>1</v>
      </c>
      <c r="J11" s="3">
        <v>1</v>
      </c>
      <c r="K11" s="3">
        <v>1</v>
      </c>
      <c r="L11" s="3">
        <v>1</v>
      </c>
      <c r="M11" s="39">
        <f t="shared" si="13"/>
        <v>7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0</v>
      </c>
      <c r="U11" s="39">
        <f t="shared" si="14"/>
        <v>6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9">
        <f t="shared" si="15"/>
        <v>7</v>
      </c>
      <c r="AD11" s="3">
        <v>1</v>
      </c>
      <c r="AE11" s="3">
        <v>1</v>
      </c>
      <c r="AF11" s="3">
        <v>1</v>
      </c>
      <c r="AG11" s="3">
        <v>1</v>
      </c>
      <c r="AH11" s="3">
        <v>0</v>
      </c>
      <c r="AI11" s="3">
        <v>1</v>
      </c>
      <c r="AJ11" s="3">
        <v>1</v>
      </c>
      <c r="AK11" s="3">
        <v>1</v>
      </c>
      <c r="AL11" s="40">
        <f t="shared" si="16"/>
        <v>7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40">
        <f t="shared" si="4"/>
        <v>6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43">
        <f t="shared" si="5"/>
        <v>7</v>
      </c>
      <c r="BB11" s="3">
        <v>0</v>
      </c>
      <c r="BC11" s="3">
        <v>1</v>
      </c>
      <c r="BD11" s="3">
        <v>0</v>
      </c>
      <c r="BE11" s="3">
        <v>1</v>
      </c>
      <c r="BF11" s="3">
        <v>0</v>
      </c>
      <c r="BG11" s="3">
        <v>1</v>
      </c>
      <c r="BH11" s="3">
        <v>1</v>
      </c>
      <c r="BI11" s="3">
        <v>1</v>
      </c>
      <c r="BJ11" s="43">
        <f t="shared" si="6"/>
        <v>5</v>
      </c>
      <c r="BM11" s="22">
        <f t="shared" si="7"/>
        <v>45</v>
      </c>
      <c r="BN11" s="22">
        <f t="shared" si="8"/>
        <v>86.538461538461547</v>
      </c>
    </row>
    <row r="12" spans="1:66" ht="18.75" x14ac:dyDescent="0.3">
      <c r="A12" s="2">
        <v>7</v>
      </c>
      <c r="B12" s="16" t="s">
        <v>48</v>
      </c>
      <c r="C12" s="20" t="s">
        <v>49</v>
      </c>
      <c r="D12" s="3">
        <v>1</v>
      </c>
      <c r="E12" s="3">
        <v>1</v>
      </c>
      <c r="F12" s="3">
        <v>1</v>
      </c>
      <c r="G12" s="3">
        <v>0</v>
      </c>
      <c r="H12" s="3">
        <v>1</v>
      </c>
      <c r="I12" s="3">
        <v>1</v>
      </c>
      <c r="J12" s="3">
        <v>0</v>
      </c>
      <c r="K12" s="3">
        <v>1</v>
      </c>
      <c r="L12" s="3">
        <v>1</v>
      </c>
      <c r="M12" s="39">
        <f t="shared" ref="M12" si="17">SUM(D12:L12)</f>
        <v>7</v>
      </c>
      <c r="N12" s="3">
        <v>1</v>
      </c>
      <c r="O12" s="3">
        <v>0</v>
      </c>
      <c r="P12" s="3">
        <v>1</v>
      </c>
      <c r="Q12" s="3">
        <v>1</v>
      </c>
      <c r="R12" s="3">
        <v>0</v>
      </c>
      <c r="S12" s="3">
        <v>1</v>
      </c>
      <c r="T12" s="3">
        <v>1</v>
      </c>
      <c r="U12" s="39">
        <f t="shared" ref="U12" si="18">SUM(N12:T12)</f>
        <v>5</v>
      </c>
      <c r="V12" s="3">
        <v>1</v>
      </c>
      <c r="W12" s="3">
        <v>0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9">
        <f t="shared" ref="AC12" si="19">SUM(V12:AB12)</f>
        <v>6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40">
        <f t="shared" ref="AL12" si="20">SUM(AD12:AK12)</f>
        <v>8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40">
        <f t="shared" si="4"/>
        <v>6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43">
        <f t="shared" si="5"/>
        <v>7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43">
        <f t="shared" si="6"/>
        <v>8</v>
      </c>
      <c r="BM12" s="22">
        <f t="shared" si="7"/>
        <v>47</v>
      </c>
      <c r="BN12" s="22">
        <f t="shared" si="8"/>
        <v>90.384615384615387</v>
      </c>
    </row>
    <row r="13" spans="1:66" ht="18.75" x14ac:dyDescent="0.3">
      <c r="A13" s="2">
        <v>8</v>
      </c>
      <c r="B13" s="16" t="s">
        <v>50</v>
      </c>
      <c r="C13" s="20" t="s">
        <v>51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9">
        <f t="shared" si="0"/>
        <v>9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9">
        <f t="shared" si="1"/>
        <v>7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9">
        <f t="shared" si="2"/>
        <v>7</v>
      </c>
      <c r="AD13" s="3">
        <v>0</v>
      </c>
      <c r="AE13" s="3">
        <v>0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40">
        <f t="shared" si="3"/>
        <v>6</v>
      </c>
      <c r="AM13" s="3">
        <v>1</v>
      </c>
      <c r="AN13" s="3">
        <v>0</v>
      </c>
      <c r="AO13" s="3">
        <v>1</v>
      </c>
      <c r="AP13" s="3">
        <v>0</v>
      </c>
      <c r="AQ13" s="3">
        <v>0</v>
      </c>
      <c r="AR13" s="3">
        <v>1</v>
      </c>
      <c r="AS13" s="40">
        <f t="shared" si="4"/>
        <v>3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43">
        <f t="shared" si="5"/>
        <v>7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43">
        <f t="shared" si="6"/>
        <v>8</v>
      </c>
      <c r="BM13" s="22">
        <f t="shared" si="7"/>
        <v>47</v>
      </c>
      <c r="BN13" s="22">
        <f t="shared" si="8"/>
        <v>90.384615384615387</v>
      </c>
    </row>
    <row r="14" spans="1:66" ht="18.75" x14ac:dyDescent="0.3">
      <c r="A14" s="2">
        <v>9</v>
      </c>
      <c r="B14" s="16" t="s">
        <v>52</v>
      </c>
      <c r="C14" s="20" t="s">
        <v>53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9">
        <f t="shared" ref="M14" si="21">SUM(D14:L14)</f>
        <v>9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1</v>
      </c>
      <c r="T14" s="3">
        <v>1</v>
      </c>
      <c r="U14" s="39">
        <f t="shared" ref="U14" si="22">SUM(N14:T14)</f>
        <v>6</v>
      </c>
      <c r="V14" s="3">
        <v>1</v>
      </c>
      <c r="W14" s="3">
        <v>0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9">
        <f t="shared" ref="AC14" si="23">SUM(V14:AB14)</f>
        <v>6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0</v>
      </c>
      <c r="AL14" s="40">
        <f t="shared" ref="AL14" si="24">SUM(AD14:AK14)</f>
        <v>7</v>
      </c>
      <c r="AM14" s="3">
        <v>0</v>
      </c>
      <c r="AN14" s="3">
        <v>1</v>
      </c>
      <c r="AO14" s="3">
        <v>0</v>
      </c>
      <c r="AP14" s="3">
        <v>0</v>
      </c>
      <c r="AQ14" s="3">
        <v>1</v>
      </c>
      <c r="AR14" s="3">
        <v>1</v>
      </c>
      <c r="AS14" s="40">
        <f t="shared" si="4"/>
        <v>3</v>
      </c>
      <c r="AT14" s="3">
        <v>0</v>
      </c>
      <c r="AU14" s="3">
        <v>1</v>
      </c>
      <c r="AV14" s="3">
        <v>0</v>
      </c>
      <c r="AW14" s="3">
        <v>1</v>
      </c>
      <c r="AX14" s="3">
        <v>0</v>
      </c>
      <c r="AY14" s="3">
        <v>1</v>
      </c>
      <c r="AZ14" s="3">
        <v>1</v>
      </c>
      <c r="BA14" s="43">
        <f t="shared" si="5"/>
        <v>4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43">
        <f t="shared" si="6"/>
        <v>8</v>
      </c>
      <c r="BM14" s="22">
        <f t="shared" si="7"/>
        <v>43</v>
      </c>
      <c r="BN14" s="22">
        <f t="shared" si="8"/>
        <v>82.692307692307693</v>
      </c>
    </row>
    <row r="15" spans="1:66" ht="18.75" x14ac:dyDescent="0.3">
      <c r="A15" s="2">
        <v>10</v>
      </c>
      <c r="B15" s="16" t="s">
        <v>54</v>
      </c>
      <c r="C15" s="20" t="s">
        <v>55</v>
      </c>
      <c r="D15" s="3">
        <v>1</v>
      </c>
      <c r="E15" s="3">
        <v>1</v>
      </c>
      <c r="F15" s="3">
        <v>1</v>
      </c>
      <c r="G15" s="3">
        <v>0</v>
      </c>
      <c r="H15" s="3">
        <v>1</v>
      </c>
      <c r="I15" s="3">
        <v>1</v>
      </c>
      <c r="J15" s="3">
        <v>0</v>
      </c>
      <c r="K15" s="3">
        <v>1</v>
      </c>
      <c r="L15" s="3">
        <v>1</v>
      </c>
      <c r="M15" s="39">
        <f t="shared" ref="M15:M16" si="25">SUM(D15:L15)</f>
        <v>7</v>
      </c>
      <c r="N15" s="3">
        <v>1</v>
      </c>
      <c r="O15" s="3">
        <v>0</v>
      </c>
      <c r="P15" s="3">
        <v>1</v>
      </c>
      <c r="Q15" s="3">
        <v>1</v>
      </c>
      <c r="R15" s="3">
        <v>0</v>
      </c>
      <c r="S15" s="3">
        <v>1</v>
      </c>
      <c r="T15" s="3">
        <v>1</v>
      </c>
      <c r="U15" s="39">
        <f t="shared" ref="U15:U16" si="26">SUM(N15:T15)</f>
        <v>5</v>
      </c>
      <c r="V15" s="3">
        <v>1</v>
      </c>
      <c r="W15" s="3">
        <v>0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9">
        <f t="shared" ref="AC15:AC16" si="27">SUM(V15:AB15)</f>
        <v>6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40">
        <f t="shared" ref="AL15:AL16" si="28">SUM(AD15:AK15)</f>
        <v>8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40">
        <f t="shared" si="4"/>
        <v>6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43">
        <f t="shared" si="5"/>
        <v>7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 s="43">
        <f t="shared" si="6"/>
        <v>8</v>
      </c>
      <c r="BM15" s="22">
        <f t="shared" si="7"/>
        <v>47</v>
      </c>
      <c r="BN15" s="22">
        <f t="shared" si="8"/>
        <v>90.384615384615387</v>
      </c>
    </row>
    <row r="16" spans="1:66" ht="18.75" x14ac:dyDescent="0.3">
      <c r="A16" s="2">
        <v>11</v>
      </c>
      <c r="B16" s="16" t="s">
        <v>56</v>
      </c>
      <c r="C16" s="20" t="s">
        <v>57</v>
      </c>
      <c r="D16" s="3">
        <v>0</v>
      </c>
      <c r="E16" s="3">
        <v>1</v>
      </c>
      <c r="F16" s="3">
        <v>1</v>
      </c>
      <c r="G16" s="3">
        <v>1</v>
      </c>
      <c r="H16" s="3">
        <v>0</v>
      </c>
      <c r="I16" s="3">
        <v>1</v>
      </c>
      <c r="J16" s="3">
        <v>1</v>
      </c>
      <c r="K16" s="3">
        <v>1</v>
      </c>
      <c r="L16" s="3">
        <v>1</v>
      </c>
      <c r="M16" s="39">
        <f t="shared" si="25"/>
        <v>7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0</v>
      </c>
      <c r="U16" s="39">
        <f t="shared" si="26"/>
        <v>6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9">
        <f t="shared" si="27"/>
        <v>7</v>
      </c>
      <c r="AD16" s="3">
        <v>1</v>
      </c>
      <c r="AE16" s="3">
        <v>1</v>
      </c>
      <c r="AF16" s="3">
        <v>1</v>
      </c>
      <c r="AG16" s="3">
        <v>1</v>
      </c>
      <c r="AH16" s="3">
        <v>0</v>
      </c>
      <c r="AI16" s="3">
        <v>1</v>
      </c>
      <c r="AJ16" s="3">
        <v>1</v>
      </c>
      <c r="AK16" s="3">
        <v>1</v>
      </c>
      <c r="AL16" s="40">
        <f t="shared" si="28"/>
        <v>7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40">
        <f t="shared" si="4"/>
        <v>6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43">
        <f t="shared" si="5"/>
        <v>7</v>
      </c>
      <c r="BB16" s="3">
        <v>1</v>
      </c>
      <c r="BC16" s="3">
        <v>0</v>
      </c>
      <c r="BD16" s="3">
        <v>1</v>
      </c>
      <c r="BE16" s="3">
        <v>0</v>
      </c>
      <c r="BF16" s="3">
        <v>1</v>
      </c>
      <c r="BG16" s="3">
        <v>0</v>
      </c>
      <c r="BH16" s="3">
        <v>1</v>
      </c>
      <c r="BI16" s="3">
        <v>1</v>
      </c>
      <c r="BJ16" s="43">
        <f t="shared" si="6"/>
        <v>5</v>
      </c>
      <c r="BM16" s="22">
        <f t="shared" si="7"/>
        <v>45</v>
      </c>
      <c r="BN16" s="22">
        <f t="shared" si="8"/>
        <v>86.538461538461547</v>
      </c>
    </row>
    <row r="17" spans="1:66" ht="18.75" x14ac:dyDescent="0.3">
      <c r="A17" s="2">
        <v>12</v>
      </c>
      <c r="B17" s="16" t="s">
        <v>58</v>
      </c>
      <c r="C17" s="20" t="s">
        <v>59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9">
        <f t="shared" si="0"/>
        <v>9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9">
        <f t="shared" si="1"/>
        <v>7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9">
        <f t="shared" si="2"/>
        <v>7</v>
      </c>
      <c r="AD17" s="3">
        <v>1</v>
      </c>
      <c r="AE17" s="3">
        <v>1</v>
      </c>
      <c r="AF17" s="3">
        <v>0</v>
      </c>
      <c r="AG17" s="3">
        <v>0</v>
      </c>
      <c r="AH17" s="3">
        <v>1</v>
      </c>
      <c r="AI17" s="3">
        <v>1</v>
      </c>
      <c r="AJ17" s="3">
        <v>1</v>
      </c>
      <c r="AK17" s="3">
        <v>1</v>
      </c>
      <c r="AL17" s="40">
        <f t="shared" si="3"/>
        <v>6</v>
      </c>
      <c r="AM17" s="3">
        <v>1</v>
      </c>
      <c r="AN17" s="3">
        <v>0</v>
      </c>
      <c r="AO17" s="3">
        <v>1</v>
      </c>
      <c r="AP17" s="3">
        <v>0</v>
      </c>
      <c r="AQ17" s="3">
        <v>0</v>
      </c>
      <c r="AR17" s="3">
        <v>1</v>
      </c>
      <c r="AS17" s="40">
        <f t="shared" si="4"/>
        <v>3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43">
        <f t="shared" si="5"/>
        <v>7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43">
        <f t="shared" si="6"/>
        <v>8</v>
      </c>
      <c r="BM17" s="22">
        <f t="shared" si="7"/>
        <v>47</v>
      </c>
      <c r="BN17" s="22">
        <f t="shared" si="8"/>
        <v>90.384615384615387</v>
      </c>
    </row>
    <row r="18" spans="1:66" ht="18.75" x14ac:dyDescent="0.3">
      <c r="A18" s="2">
        <v>13</v>
      </c>
      <c r="B18" s="16" t="s">
        <v>60</v>
      </c>
      <c r="C18" s="20" t="s">
        <v>61</v>
      </c>
      <c r="D18" s="3">
        <v>1</v>
      </c>
      <c r="E18" s="3">
        <v>1</v>
      </c>
      <c r="F18" s="3">
        <v>1</v>
      </c>
      <c r="G18" s="3">
        <v>0</v>
      </c>
      <c r="H18" s="3">
        <v>1</v>
      </c>
      <c r="I18" s="3">
        <v>1</v>
      </c>
      <c r="J18" s="3">
        <v>0</v>
      </c>
      <c r="K18" s="3">
        <v>1</v>
      </c>
      <c r="L18" s="3">
        <v>1</v>
      </c>
      <c r="M18" s="39">
        <f t="shared" ref="M18:M19" si="29">SUM(D18:L18)</f>
        <v>7</v>
      </c>
      <c r="N18" s="3">
        <v>1</v>
      </c>
      <c r="O18" s="3">
        <v>0</v>
      </c>
      <c r="P18" s="3">
        <v>1</v>
      </c>
      <c r="Q18" s="3">
        <v>1</v>
      </c>
      <c r="R18" s="3">
        <v>0</v>
      </c>
      <c r="S18" s="3">
        <v>1</v>
      </c>
      <c r="T18" s="3">
        <v>1</v>
      </c>
      <c r="U18" s="39">
        <f t="shared" ref="U18:U19" si="30">SUM(N18:T18)</f>
        <v>5</v>
      </c>
      <c r="V18" s="3">
        <v>1</v>
      </c>
      <c r="W18" s="3">
        <v>0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9">
        <f t="shared" ref="AC18:AC19" si="31">SUM(V18:AB18)</f>
        <v>6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40">
        <f t="shared" ref="AL18:AL19" si="32">SUM(AD18:AK18)</f>
        <v>8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40">
        <f t="shared" si="4"/>
        <v>6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43">
        <f t="shared" si="5"/>
        <v>7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43">
        <f t="shared" si="6"/>
        <v>8</v>
      </c>
      <c r="BM18" s="22">
        <f t="shared" si="7"/>
        <v>47</v>
      </c>
      <c r="BN18" s="22">
        <f t="shared" si="8"/>
        <v>90.384615384615387</v>
      </c>
    </row>
    <row r="19" spans="1:66" ht="18.75" x14ac:dyDescent="0.3">
      <c r="A19" s="2">
        <v>14</v>
      </c>
      <c r="B19" s="16" t="s">
        <v>62</v>
      </c>
      <c r="C19" s="20" t="s">
        <v>63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9">
        <f t="shared" si="29"/>
        <v>9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1</v>
      </c>
      <c r="T19" s="3">
        <v>1</v>
      </c>
      <c r="U19" s="39">
        <f t="shared" si="30"/>
        <v>6</v>
      </c>
      <c r="V19" s="3">
        <v>1</v>
      </c>
      <c r="W19" s="3">
        <v>0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9">
        <f t="shared" si="31"/>
        <v>6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0</v>
      </c>
      <c r="AL19" s="40">
        <f t="shared" si="32"/>
        <v>7</v>
      </c>
      <c r="AM19" s="3">
        <v>1</v>
      </c>
      <c r="AN19" s="3">
        <v>1</v>
      </c>
      <c r="AO19" s="3">
        <v>0</v>
      </c>
      <c r="AP19" s="3">
        <v>1</v>
      </c>
      <c r="AQ19" s="3">
        <v>0</v>
      </c>
      <c r="AR19" s="3">
        <v>0</v>
      </c>
      <c r="AS19" s="40">
        <f t="shared" si="4"/>
        <v>3</v>
      </c>
      <c r="AT19" s="3">
        <v>1</v>
      </c>
      <c r="AU19" s="3">
        <v>0</v>
      </c>
      <c r="AV19" s="3">
        <v>1</v>
      </c>
      <c r="AW19" s="3">
        <v>0</v>
      </c>
      <c r="AX19" s="3">
        <v>1</v>
      </c>
      <c r="AY19" s="3">
        <v>0</v>
      </c>
      <c r="AZ19" s="3">
        <v>1</v>
      </c>
      <c r="BA19" s="43">
        <f t="shared" si="5"/>
        <v>4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43">
        <f t="shared" si="6"/>
        <v>8</v>
      </c>
      <c r="BM19" s="22">
        <f t="shared" si="7"/>
        <v>43</v>
      </c>
      <c r="BN19" s="22">
        <f t="shared" si="8"/>
        <v>82.692307692307693</v>
      </c>
    </row>
    <row r="20" spans="1:66" ht="18.75" x14ac:dyDescent="0.3">
      <c r="A20" s="2">
        <v>15</v>
      </c>
      <c r="B20" s="16" t="s">
        <v>64</v>
      </c>
      <c r="C20" s="20" t="s">
        <v>65</v>
      </c>
      <c r="D20" s="3">
        <v>0</v>
      </c>
      <c r="E20" s="3">
        <v>1</v>
      </c>
      <c r="F20" s="3">
        <v>1</v>
      </c>
      <c r="G20" s="3">
        <v>1</v>
      </c>
      <c r="H20" s="3">
        <v>0</v>
      </c>
      <c r="I20" s="3">
        <v>1</v>
      </c>
      <c r="J20" s="3">
        <v>1</v>
      </c>
      <c r="K20" s="3">
        <v>1</v>
      </c>
      <c r="L20" s="3">
        <v>1</v>
      </c>
      <c r="M20" s="39">
        <f t="shared" ref="M20" si="33">SUM(D20:L20)</f>
        <v>7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0</v>
      </c>
      <c r="U20" s="39">
        <f t="shared" ref="U20" si="34">SUM(N20:T20)</f>
        <v>6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9">
        <f t="shared" ref="AC20" si="35">SUM(V20:AB20)</f>
        <v>7</v>
      </c>
      <c r="AD20" s="3">
        <v>1</v>
      </c>
      <c r="AE20" s="3">
        <v>1</v>
      </c>
      <c r="AF20" s="3">
        <v>1</v>
      </c>
      <c r="AG20" s="3">
        <v>1</v>
      </c>
      <c r="AH20" s="3">
        <v>0</v>
      </c>
      <c r="AI20" s="3">
        <v>1</v>
      </c>
      <c r="AJ20" s="3">
        <v>1</v>
      </c>
      <c r="AK20" s="3">
        <v>1</v>
      </c>
      <c r="AL20" s="40">
        <f t="shared" ref="AL20" si="36">SUM(AD20:AK20)</f>
        <v>7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40">
        <f t="shared" si="4"/>
        <v>6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43">
        <f t="shared" si="5"/>
        <v>7</v>
      </c>
      <c r="BB20" s="3">
        <v>1</v>
      </c>
      <c r="BC20" s="3">
        <v>0</v>
      </c>
      <c r="BD20" s="3">
        <v>1</v>
      </c>
      <c r="BE20" s="3">
        <v>0</v>
      </c>
      <c r="BF20" s="3">
        <v>1</v>
      </c>
      <c r="BG20" s="3">
        <v>1</v>
      </c>
      <c r="BH20" s="3">
        <v>1</v>
      </c>
      <c r="BI20" s="3">
        <v>1</v>
      </c>
      <c r="BJ20" s="43">
        <f t="shared" si="6"/>
        <v>6</v>
      </c>
      <c r="BM20" s="22">
        <f t="shared" si="7"/>
        <v>46</v>
      </c>
      <c r="BN20" s="22">
        <f t="shared" si="8"/>
        <v>88.461538461538453</v>
      </c>
    </row>
    <row r="21" spans="1:66" ht="18.75" x14ac:dyDescent="0.3">
      <c r="A21" s="2">
        <v>16</v>
      </c>
      <c r="B21" s="16" t="s">
        <v>66</v>
      </c>
      <c r="C21" s="20" t="s">
        <v>67</v>
      </c>
      <c r="D21" s="3">
        <v>1</v>
      </c>
      <c r="E21" s="3">
        <v>1</v>
      </c>
      <c r="F21" s="3">
        <v>1</v>
      </c>
      <c r="G21" s="3">
        <v>0</v>
      </c>
      <c r="H21" s="3">
        <v>1</v>
      </c>
      <c r="I21" s="3">
        <v>1</v>
      </c>
      <c r="J21" s="3">
        <v>0</v>
      </c>
      <c r="K21" s="3">
        <v>1</v>
      </c>
      <c r="L21" s="3">
        <v>1</v>
      </c>
      <c r="M21" s="39">
        <f t="shared" ref="M21" si="37">SUM(D21:L21)</f>
        <v>7</v>
      </c>
      <c r="N21" s="3">
        <v>1</v>
      </c>
      <c r="O21" s="3">
        <v>0</v>
      </c>
      <c r="P21" s="3">
        <v>1</v>
      </c>
      <c r="Q21" s="3">
        <v>1</v>
      </c>
      <c r="R21" s="3">
        <v>0</v>
      </c>
      <c r="S21" s="3">
        <v>1</v>
      </c>
      <c r="T21" s="3">
        <v>1</v>
      </c>
      <c r="U21" s="39">
        <f t="shared" ref="U21" si="38">SUM(N21:T21)</f>
        <v>5</v>
      </c>
      <c r="V21" s="3">
        <v>1</v>
      </c>
      <c r="W21" s="3">
        <v>0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9">
        <f t="shared" ref="AC21" si="39">SUM(V21:AB21)</f>
        <v>6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40">
        <f t="shared" ref="AL21" si="40">SUM(AD21:AK21)</f>
        <v>8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40">
        <f t="shared" si="4"/>
        <v>6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43">
        <f t="shared" si="5"/>
        <v>7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43">
        <f t="shared" si="6"/>
        <v>8</v>
      </c>
      <c r="BM21" s="22">
        <f t="shared" si="7"/>
        <v>47</v>
      </c>
      <c r="BN21" s="22">
        <f t="shared" si="8"/>
        <v>90.384615384615387</v>
      </c>
    </row>
    <row r="22" spans="1:66" ht="18.75" x14ac:dyDescent="0.3">
      <c r="A22" s="2">
        <v>17</v>
      </c>
      <c r="B22" s="16" t="s">
        <v>68</v>
      </c>
      <c r="C22" s="20" t="s">
        <v>69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9">
        <f t="shared" si="0"/>
        <v>9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9">
        <f t="shared" si="1"/>
        <v>7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9">
        <f t="shared" si="2"/>
        <v>7</v>
      </c>
      <c r="AD22" s="3">
        <v>1</v>
      </c>
      <c r="AE22" s="3">
        <v>1</v>
      </c>
      <c r="AF22" s="3">
        <v>1</v>
      </c>
      <c r="AG22" s="3">
        <v>0</v>
      </c>
      <c r="AH22" s="3">
        <v>0</v>
      </c>
      <c r="AI22" s="3">
        <v>1</v>
      </c>
      <c r="AJ22" s="3">
        <v>1</v>
      </c>
      <c r="AK22" s="3">
        <v>1</v>
      </c>
      <c r="AL22" s="40">
        <f t="shared" si="3"/>
        <v>6</v>
      </c>
      <c r="AM22" s="3">
        <v>0</v>
      </c>
      <c r="AN22" s="3">
        <v>1</v>
      </c>
      <c r="AO22" s="3">
        <v>0</v>
      </c>
      <c r="AP22" s="3">
        <v>0</v>
      </c>
      <c r="AQ22" s="3">
        <v>1</v>
      </c>
      <c r="AR22" s="3">
        <v>1</v>
      </c>
      <c r="AS22" s="40">
        <f t="shared" si="4"/>
        <v>3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43">
        <f t="shared" si="5"/>
        <v>7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43">
        <f t="shared" si="6"/>
        <v>8</v>
      </c>
      <c r="BM22" s="22">
        <f t="shared" si="7"/>
        <v>47</v>
      </c>
      <c r="BN22" s="22">
        <f t="shared" si="8"/>
        <v>90.384615384615387</v>
      </c>
    </row>
    <row r="23" spans="1:66" ht="18.75" x14ac:dyDescent="0.3">
      <c r="A23" s="2">
        <v>18</v>
      </c>
      <c r="B23" s="16" t="s">
        <v>70</v>
      </c>
      <c r="C23" s="20" t="s">
        <v>71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9">
        <f t="shared" si="0"/>
        <v>9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9">
        <f t="shared" si="1"/>
        <v>7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9">
        <f t="shared" si="2"/>
        <v>7</v>
      </c>
      <c r="AD23" s="3">
        <v>1</v>
      </c>
      <c r="AE23" s="3">
        <v>1</v>
      </c>
      <c r="AF23" s="3">
        <v>1</v>
      </c>
      <c r="AG23" s="3">
        <v>1</v>
      </c>
      <c r="AH23" s="3">
        <v>0</v>
      </c>
      <c r="AI23" s="3">
        <v>0</v>
      </c>
      <c r="AJ23" s="3">
        <v>1</v>
      </c>
      <c r="AK23" s="3">
        <v>1</v>
      </c>
      <c r="AL23" s="40">
        <f t="shared" si="3"/>
        <v>6</v>
      </c>
      <c r="AM23" s="3">
        <v>1</v>
      </c>
      <c r="AN23" s="3">
        <v>0</v>
      </c>
      <c r="AO23" s="3">
        <v>1</v>
      </c>
      <c r="AP23" s="3">
        <v>0</v>
      </c>
      <c r="AQ23" s="3">
        <v>0</v>
      </c>
      <c r="AR23" s="3">
        <v>1</v>
      </c>
      <c r="AS23" s="40">
        <f t="shared" si="4"/>
        <v>3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43">
        <f t="shared" si="5"/>
        <v>7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43">
        <f t="shared" si="6"/>
        <v>8</v>
      </c>
      <c r="BM23" s="22">
        <f t="shared" si="7"/>
        <v>47</v>
      </c>
      <c r="BN23" s="22">
        <f t="shared" si="8"/>
        <v>90.384615384615387</v>
      </c>
    </row>
    <row r="24" spans="1:66" ht="18.75" x14ac:dyDescent="0.3">
      <c r="A24" s="2">
        <v>19</v>
      </c>
      <c r="B24" s="16" t="s">
        <v>72</v>
      </c>
      <c r="C24" s="20" t="s">
        <v>73</v>
      </c>
      <c r="D24" s="3">
        <v>1</v>
      </c>
      <c r="E24" s="3">
        <v>1</v>
      </c>
      <c r="F24" s="3">
        <v>1</v>
      </c>
      <c r="G24" s="3">
        <v>0</v>
      </c>
      <c r="H24" s="3">
        <v>1</v>
      </c>
      <c r="I24" s="3">
        <v>1</v>
      </c>
      <c r="J24" s="3">
        <v>0</v>
      </c>
      <c r="K24" s="3">
        <v>1</v>
      </c>
      <c r="L24" s="3">
        <v>1</v>
      </c>
      <c r="M24" s="39">
        <f t="shared" ref="M24:M26" si="41">SUM(D24:L24)</f>
        <v>7</v>
      </c>
      <c r="N24" s="3">
        <v>1</v>
      </c>
      <c r="O24" s="3">
        <v>0</v>
      </c>
      <c r="P24" s="3">
        <v>1</v>
      </c>
      <c r="Q24" s="3">
        <v>1</v>
      </c>
      <c r="R24" s="3">
        <v>0</v>
      </c>
      <c r="S24" s="3">
        <v>1</v>
      </c>
      <c r="T24" s="3">
        <v>1</v>
      </c>
      <c r="U24" s="39">
        <f t="shared" ref="U24:U26" si="42">SUM(N24:T24)</f>
        <v>5</v>
      </c>
      <c r="V24" s="3">
        <v>1</v>
      </c>
      <c r="W24" s="3">
        <v>0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9">
        <f t="shared" ref="AC24:AC26" si="43">SUM(V24:AB24)</f>
        <v>6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40">
        <f t="shared" ref="AL24:AL26" si="44">SUM(AD24:AK24)</f>
        <v>8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40">
        <f t="shared" si="4"/>
        <v>6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43">
        <f t="shared" si="5"/>
        <v>7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43">
        <f t="shared" si="6"/>
        <v>8</v>
      </c>
      <c r="BM24" s="22">
        <f t="shared" si="7"/>
        <v>47</v>
      </c>
      <c r="BN24" s="22">
        <f t="shared" si="8"/>
        <v>90.384615384615387</v>
      </c>
    </row>
    <row r="25" spans="1:66" ht="18.75" x14ac:dyDescent="0.3">
      <c r="A25" s="2">
        <v>20</v>
      </c>
      <c r="B25" s="16" t="s">
        <v>74</v>
      </c>
      <c r="C25" s="20" t="s">
        <v>75</v>
      </c>
      <c r="D25" s="3">
        <v>0</v>
      </c>
      <c r="E25" s="3">
        <v>1</v>
      </c>
      <c r="F25" s="3">
        <v>1</v>
      </c>
      <c r="G25" s="3">
        <v>1</v>
      </c>
      <c r="H25" s="3">
        <v>0</v>
      </c>
      <c r="I25" s="3">
        <v>1</v>
      </c>
      <c r="J25" s="3">
        <v>1</v>
      </c>
      <c r="K25" s="3">
        <v>1</v>
      </c>
      <c r="L25" s="3">
        <v>1</v>
      </c>
      <c r="M25" s="39">
        <f t="shared" si="41"/>
        <v>7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0</v>
      </c>
      <c r="U25" s="39">
        <f t="shared" si="42"/>
        <v>6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9">
        <f t="shared" si="43"/>
        <v>7</v>
      </c>
      <c r="AD25" s="3">
        <v>1</v>
      </c>
      <c r="AE25" s="3">
        <v>1</v>
      </c>
      <c r="AF25" s="3">
        <v>1</v>
      </c>
      <c r="AG25" s="3">
        <v>1</v>
      </c>
      <c r="AH25" s="3">
        <v>0</v>
      </c>
      <c r="AI25" s="3">
        <v>1</v>
      </c>
      <c r="AJ25" s="3">
        <v>1</v>
      </c>
      <c r="AK25" s="3">
        <v>1</v>
      </c>
      <c r="AL25" s="40">
        <f t="shared" si="44"/>
        <v>7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40">
        <f t="shared" si="4"/>
        <v>6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43">
        <f t="shared" si="5"/>
        <v>7</v>
      </c>
      <c r="BB25" s="3">
        <v>1</v>
      </c>
      <c r="BC25" s="3">
        <v>0</v>
      </c>
      <c r="BD25" s="3">
        <v>1</v>
      </c>
      <c r="BE25" s="3">
        <v>0</v>
      </c>
      <c r="BF25" s="3">
        <v>1</v>
      </c>
      <c r="BG25" s="3">
        <v>0</v>
      </c>
      <c r="BH25" s="3">
        <v>1</v>
      </c>
      <c r="BI25" s="3">
        <v>1</v>
      </c>
      <c r="BJ25" s="43">
        <f t="shared" si="6"/>
        <v>5</v>
      </c>
      <c r="BM25" s="22">
        <f t="shared" si="7"/>
        <v>45</v>
      </c>
      <c r="BN25" s="22">
        <f t="shared" si="8"/>
        <v>86.538461538461547</v>
      </c>
    </row>
    <row r="26" spans="1:66" ht="18.75" x14ac:dyDescent="0.3">
      <c r="A26" s="2">
        <v>21</v>
      </c>
      <c r="B26" s="16" t="s">
        <v>76</v>
      </c>
      <c r="C26" s="20" t="s">
        <v>77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9">
        <f t="shared" si="41"/>
        <v>9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1</v>
      </c>
      <c r="T26" s="3">
        <v>1</v>
      </c>
      <c r="U26" s="39">
        <f t="shared" si="42"/>
        <v>6</v>
      </c>
      <c r="V26" s="3">
        <v>1</v>
      </c>
      <c r="W26" s="3">
        <v>0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9">
        <f t="shared" si="43"/>
        <v>6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0</v>
      </c>
      <c r="AL26" s="40">
        <f t="shared" si="44"/>
        <v>7</v>
      </c>
      <c r="AM26" s="3">
        <v>1</v>
      </c>
      <c r="AN26" s="3">
        <v>1</v>
      </c>
      <c r="AO26" s="3">
        <v>0</v>
      </c>
      <c r="AP26" s="3">
        <v>1</v>
      </c>
      <c r="AQ26" s="3">
        <v>0</v>
      </c>
      <c r="AR26" s="3">
        <v>0</v>
      </c>
      <c r="AS26" s="40">
        <f t="shared" si="4"/>
        <v>3</v>
      </c>
      <c r="AT26" s="3">
        <v>1</v>
      </c>
      <c r="AU26" s="3">
        <v>0</v>
      </c>
      <c r="AV26" s="3">
        <v>1</v>
      </c>
      <c r="AW26" s="3">
        <v>0</v>
      </c>
      <c r="AX26" s="3">
        <v>1</v>
      </c>
      <c r="AY26" s="3">
        <v>0</v>
      </c>
      <c r="AZ26" s="3">
        <v>1</v>
      </c>
      <c r="BA26" s="43">
        <f t="shared" si="5"/>
        <v>4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43">
        <f t="shared" si="6"/>
        <v>8</v>
      </c>
      <c r="BM26" s="22">
        <f t="shared" si="7"/>
        <v>43</v>
      </c>
      <c r="BN26" s="22">
        <f t="shared" si="8"/>
        <v>82.692307692307693</v>
      </c>
    </row>
    <row r="27" spans="1:66" ht="18" x14ac:dyDescent="0.35">
      <c r="A27" s="2">
        <v>22</v>
      </c>
      <c r="B27" s="16" t="s">
        <v>78</v>
      </c>
      <c r="C27" s="20" t="s">
        <v>79</v>
      </c>
      <c r="D27" s="3">
        <v>1</v>
      </c>
      <c r="E27" s="3">
        <v>1</v>
      </c>
      <c r="F27" s="3">
        <v>1</v>
      </c>
      <c r="G27" s="3">
        <v>0</v>
      </c>
      <c r="H27" s="3">
        <v>1</v>
      </c>
      <c r="I27" s="3">
        <v>1</v>
      </c>
      <c r="J27" s="3">
        <v>0</v>
      </c>
      <c r="K27" s="3">
        <v>1</v>
      </c>
      <c r="L27" s="3">
        <v>1</v>
      </c>
      <c r="M27" s="39">
        <f t="shared" ref="M27" si="45">SUM(D27:L27)</f>
        <v>7</v>
      </c>
      <c r="N27" s="3">
        <v>1</v>
      </c>
      <c r="O27" s="3">
        <v>0</v>
      </c>
      <c r="P27" s="3">
        <v>1</v>
      </c>
      <c r="Q27" s="3">
        <v>1</v>
      </c>
      <c r="R27" s="3">
        <v>0</v>
      </c>
      <c r="S27" s="3">
        <v>1</v>
      </c>
      <c r="T27" s="3">
        <v>1</v>
      </c>
      <c r="U27" s="39">
        <f t="shared" ref="U27" si="46">SUM(N27:T27)</f>
        <v>5</v>
      </c>
      <c r="V27" s="3">
        <v>1</v>
      </c>
      <c r="W27" s="3">
        <v>0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9">
        <f t="shared" ref="AC27" si="47">SUM(V27:AB27)</f>
        <v>6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40">
        <f t="shared" ref="AL27" si="48">SUM(AD27:AK27)</f>
        <v>8</v>
      </c>
      <c r="AM27" s="3">
        <v>1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40">
        <f t="shared" si="4"/>
        <v>6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43">
        <f t="shared" si="5"/>
        <v>7</v>
      </c>
      <c r="BB27" s="3">
        <v>1</v>
      </c>
      <c r="BC27" s="3">
        <v>1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43">
        <f t="shared" si="6"/>
        <v>8</v>
      </c>
      <c r="BM27" s="22">
        <f t="shared" si="7"/>
        <v>47</v>
      </c>
      <c r="BN27" s="22">
        <f t="shared" si="8"/>
        <v>90.384615384615387</v>
      </c>
    </row>
    <row r="28" spans="1:66" ht="18" x14ac:dyDescent="0.35">
      <c r="A28" s="2">
        <v>23</v>
      </c>
      <c r="B28" s="16" t="s">
        <v>80</v>
      </c>
      <c r="C28" s="20" t="s">
        <v>81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9">
        <f t="shared" si="0"/>
        <v>9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9">
        <f t="shared" si="1"/>
        <v>7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9">
        <f t="shared" si="2"/>
        <v>7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0</v>
      </c>
      <c r="AJ28" s="3">
        <v>0</v>
      </c>
      <c r="AK28" s="3">
        <v>1</v>
      </c>
      <c r="AL28" s="40">
        <f t="shared" si="3"/>
        <v>6</v>
      </c>
      <c r="AM28" s="3">
        <v>1</v>
      </c>
      <c r="AN28" s="3">
        <v>0</v>
      </c>
      <c r="AO28" s="3">
        <v>1</v>
      </c>
      <c r="AP28" s="3">
        <v>0</v>
      </c>
      <c r="AQ28" s="3">
        <v>0</v>
      </c>
      <c r="AR28" s="3">
        <v>1</v>
      </c>
      <c r="AS28" s="40">
        <f t="shared" si="4"/>
        <v>3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43">
        <f t="shared" si="5"/>
        <v>7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43">
        <f t="shared" si="6"/>
        <v>8</v>
      </c>
      <c r="BM28" s="22">
        <f t="shared" si="7"/>
        <v>47</v>
      </c>
      <c r="BN28" s="22">
        <f t="shared" si="8"/>
        <v>90.384615384615387</v>
      </c>
    </row>
    <row r="29" spans="1:66" ht="18" x14ac:dyDescent="0.35">
      <c r="A29" s="2">
        <v>24</v>
      </c>
      <c r="B29" s="16" t="s">
        <v>82</v>
      </c>
      <c r="C29" s="20" t="s">
        <v>83</v>
      </c>
      <c r="D29" s="3">
        <v>0</v>
      </c>
      <c r="E29" s="3">
        <v>1</v>
      </c>
      <c r="F29" s="3">
        <v>1</v>
      </c>
      <c r="G29" s="3">
        <v>1</v>
      </c>
      <c r="H29" s="3">
        <v>0</v>
      </c>
      <c r="I29" s="3">
        <v>1</v>
      </c>
      <c r="J29" s="3">
        <v>1</v>
      </c>
      <c r="K29" s="3">
        <v>1</v>
      </c>
      <c r="L29" s="3">
        <v>1</v>
      </c>
      <c r="M29" s="39">
        <f t="shared" ref="M29" si="49">SUM(D29:L29)</f>
        <v>7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0</v>
      </c>
      <c r="U29" s="39">
        <f t="shared" ref="U29" si="50">SUM(N29:T29)</f>
        <v>6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9">
        <f t="shared" ref="AC29" si="51">SUM(V29:AB29)</f>
        <v>7</v>
      </c>
      <c r="AD29" s="3">
        <v>1</v>
      </c>
      <c r="AE29" s="3">
        <v>1</v>
      </c>
      <c r="AF29" s="3">
        <v>1</v>
      </c>
      <c r="AG29" s="3">
        <v>1</v>
      </c>
      <c r="AH29" s="3">
        <v>0</v>
      </c>
      <c r="AI29" s="3">
        <v>1</v>
      </c>
      <c r="AJ29" s="3">
        <v>1</v>
      </c>
      <c r="AK29" s="3">
        <v>1</v>
      </c>
      <c r="AL29" s="40">
        <f t="shared" ref="AL29" si="52">SUM(AD29:AK29)</f>
        <v>7</v>
      </c>
      <c r="AM29" s="3">
        <v>1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 s="40">
        <f t="shared" si="4"/>
        <v>6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43">
        <f t="shared" si="5"/>
        <v>7</v>
      </c>
      <c r="BB29" s="3">
        <v>1</v>
      </c>
      <c r="BC29" s="3">
        <v>0</v>
      </c>
      <c r="BD29" s="3">
        <v>1</v>
      </c>
      <c r="BE29" s="3">
        <v>0</v>
      </c>
      <c r="BF29" s="3">
        <v>1</v>
      </c>
      <c r="BG29" s="3">
        <v>1</v>
      </c>
      <c r="BH29" s="3">
        <v>1</v>
      </c>
      <c r="BI29" s="3">
        <v>1</v>
      </c>
      <c r="BJ29" s="43">
        <f t="shared" si="6"/>
        <v>6</v>
      </c>
      <c r="BM29" s="22">
        <f t="shared" si="7"/>
        <v>46</v>
      </c>
      <c r="BN29" s="22">
        <f t="shared" si="8"/>
        <v>88.461538461538453</v>
      </c>
    </row>
    <row r="30" spans="1:66" ht="18" x14ac:dyDescent="0.35">
      <c r="A30" s="2">
        <v>25</v>
      </c>
      <c r="B30" s="16" t="s">
        <v>84</v>
      </c>
      <c r="C30" s="20" t="s">
        <v>85</v>
      </c>
      <c r="D30" s="3">
        <v>1</v>
      </c>
      <c r="E30" s="3">
        <v>1</v>
      </c>
      <c r="F30" s="3">
        <v>1</v>
      </c>
      <c r="G30" s="3">
        <v>0</v>
      </c>
      <c r="H30" s="3">
        <v>1</v>
      </c>
      <c r="I30" s="3">
        <v>1</v>
      </c>
      <c r="J30" s="3">
        <v>0</v>
      </c>
      <c r="K30" s="3">
        <v>1</v>
      </c>
      <c r="L30" s="3">
        <v>1</v>
      </c>
      <c r="M30" s="39">
        <f t="shared" ref="M30" si="53">SUM(D30:L30)</f>
        <v>7</v>
      </c>
      <c r="N30" s="3">
        <v>1</v>
      </c>
      <c r="O30" s="3">
        <v>0</v>
      </c>
      <c r="P30" s="3">
        <v>1</v>
      </c>
      <c r="Q30" s="3">
        <v>1</v>
      </c>
      <c r="R30" s="3">
        <v>0</v>
      </c>
      <c r="S30" s="3">
        <v>1</v>
      </c>
      <c r="T30" s="3">
        <v>1</v>
      </c>
      <c r="U30" s="39">
        <f t="shared" ref="U30" si="54">SUM(N30:T30)</f>
        <v>5</v>
      </c>
      <c r="V30" s="3">
        <v>1</v>
      </c>
      <c r="W30" s="3">
        <v>0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9">
        <f t="shared" ref="AC30" si="55">SUM(V30:AB30)</f>
        <v>6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40">
        <f t="shared" ref="AL30" si="56">SUM(AD30:AK30)</f>
        <v>8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 s="40">
        <f t="shared" si="4"/>
        <v>6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43">
        <f t="shared" si="5"/>
        <v>7</v>
      </c>
      <c r="BB30" s="3">
        <v>1</v>
      </c>
      <c r="BC30" s="3">
        <v>1</v>
      </c>
      <c r="BD30" s="3">
        <v>1</v>
      </c>
      <c r="BE30" s="3">
        <v>1</v>
      </c>
      <c r="BF30" s="3">
        <v>1</v>
      </c>
      <c r="BG30" s="3">
        <v>1</v>
      </c>
      <c r="BH30" s="3">
        <v>1</v>
      </c>
      <c r="BI30" s="3">
        <v>1</v>
      </c>
      <c r="BJ30" s="43">
        <f t="shared" si="6"/>
        <v>8</v>
      </c>
      <c r="BM30" s="22">
        <f t="shared" si="7"/>
        <v>47</v>
      </c>
      <c r="BN30" s="22">
        <f t="shared" si="8"/>
        <v>90.384615384615387</v>
      </c>
    </row>
    <row r="31" spans="1:66" ht="18" x14ac:dyDescent="0.35">
      <c r="A31" s="2">
        <v>26</v>
      </c>
      <c r="B31" s="16" t="s">
        <v>86</v>
      </c>
      <c r="C31" s="20" t="s">
        <v>87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9">
        <f t="shared" si="0"/>
        <v>9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9">
        <f t="shared" si="1"/>
        <v>7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9">
        <f t="shared" si="2"/>
        <v>7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0</v>
      </c>
      <c r="AK31" s="3">
        <v>0</v>
      </c>
      <c r="AL31" s="40">
        <f t="shared" si="3"/>
        <v>6</v>
      </c>
      <c r="AM31" s="3">
        <v>1</v>
      </c>
      <c r="AN31" s="3">
        <v>1</v>
      </c>
      <c r="AO31" s="3">
        <v>0</v>
      </c>
      <c r="AP31" s="3">
        <v>1</v>
      </c>
      <c r="AQ31" s="3">
        <v>0</v>
      </c>
      <c r="AR31" s="3">
        <v>0</v>
      </c>
      <c r="AS31" s="40">
        <f t="shared" si="4"/>
        <v>3</v>
      </c>
      <c r="AT31" s="3">
        <v>0</v>
      </c>
      <c r="AU31" s="3">
        <v>1</v>
      </c>
      <c r="AV31" s="3">
        <v>0</v>
      </c>
      <c r="AW31" s="3">
        <v>1</v>
      </c>
      <c r="AX31" s="3">
        <v>0</v>
      </c>
      <c r="AY31" s="3">
        <v>1</v>
      </c>
      <c r="AZ31" s="3">
        <v>1</v>
      </c>
      <c r="BA31" s="43">
        <f t="shared" si="5"/>
        <v>4</v>
      </c>
      <c r="BB31" s="3">
        <v>1</v>
      </c>
      <c r="BC31" s="3">
        <v>1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43">
        <f t="shared" si="6"/>
        <v>8</v>
      </c>
      <c r="BM31" s="22">
        <f t="shared" si="7"/>
        <v>44</v>
      </c>
      <c r="BN31" s="22">
        <f t="shared" si="8"/>
        <v>84.615384615384613</v>
      </c>
    </row>
    <row r="32" spans="1:66" ht="18" x14ac:dyDescent="0.35">
      <c r="A32" s="2">
        <v>27</v>
      </c>
      <c r="B32" s="16" t="s">
        <v>88</v>
      </c>
      <c r="C32" s="20" t="s">
        <v>89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9">
        <f t="shared" ref="M32" si="57">SUM(D32:L32)</f>
        <v>9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1</v>
      </c>
      <c r="T32" s="3">
        <v>1</v>
      </c>
      <c r="U32" s="39">
        <f t="shared" ref="U32" si="58">SUM(N32:T32)</f>
        <v>6</v>
      </c>
      <c r="V32" s="3">
        <v>1</v>
      </c>
      <c r="W32" s="3">
        <v>0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9">
        <f t="shared" ref="AC32" si="59">SUM(V32:AB32)</f>
        <v>6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3">
        <v>1</v>
      </c>
      <c r="AJ32" s="3">
        <v>1</v>
      </c>
      <c r="AK32" s="3">
        <v>0</v>
      </c>
      <c r="AL32" s="40">
        <f t="shared" ref="AL32" si="60">SUM(AD32:AK32)</f>
        <v>7</v>
      </c>
      <c r="AM32" s="3">
        <v>1</v>
      </c>
      <c r="AN32" s="3">
        <v>1</v>
      </c>
      <c r="AO32" s="3">
        <v>0</v>
      </c>
      <c r="AP32" s="3">
        <v>1</v>
      </c>
      <c r="AQ32" s="3">
        <v>0</v>
      </c>
      <c r="AR32" s="3">
        <v>0</v>
      </c>
      <c r="AS32" s="40">
        <f t="shared" si="4"/>
        <v>3</v>
      </c>
      <c r="AT32" s="3">
        <v>1</v>
      </c>
      <c r="AU32" s="3">
        <v>1</v>
      </c>
      <c r="AV32" s="3">
        <v>1</v>
      </c>
      <c r="AW32" s="3">
        <v>1</v>
      </c>
      <c r="AX32" s="3">
        <v>1</v>
      </c>
      <c r="AY32" s="3">
        <v>1</v>
      </c>
      <c r="AZ32" s="3">
        <v>1</v>
      </c>
      <c r="BA32" s="43">
        <f t="shared" si="5"/>
        <v>7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>
        <v>1</v>
      </c>
      <c r="BJ32" s="43">
        <f t="shared" si="6"/>
        <v>8</v>
      </c>
      <c r="BM32" s="22">
        <f t="shared" si="7"/>
        <v>46</v>
      </c>
      <c r="BN32" s="22">
        <f t="shared" si="8"/>
        <v>88.461538461538453</v>
      </c>
    </row>
    <row r="33" spans="1:66" ht="18" x14ac:dyDescent="0.35">
      <c r="A33" s="2">
        <v>28</v>
      </c>
      <c r="B33" s="16" t="s">
        <v>90</v>
      </c>
      <c r="C33" s="20" t="s">
        <v>91</v>
      </c>
      <c r="D33" s="3">
        <v>1</v>
      </c>
      <c r="E33" s="3">
        <v>1</v>
      </c>
      <c r="F33" s="3">
        <v>1</v>
      </c>
      <c r="G33" s="3">
        <v>0</v>
      </c>
      <c r="H33" s="3">
        <v>1</v>
      </c>
      <c r="I33" s="3">
        <v>1</v>
      </c>
      <c r="J33" s="3">
        <v>0</v>
      </c>
      <c r="K33" s="3">
        <v>1</v>
      </c>
      <c r="L33" s="3">
        <v>1</v>
      </c>
      <c r="M33" s="39">
        <f t="shared" ref="M33:M34" si="61">SUM(D33:L33)</f>
        <v>7</v>
      </c>
      <c r="N33" s="3">
        <v>1</v>
      </c>
      <c r="O33" s="3">
        <v>0</v>
      </c>
      <c r="P33" s="3">
        <v>1</v>
      </c>
      <c r="Q33" s="3">
        <v>1</v>
      </c>
      <c r="R33" s="3">
        <v>0</v>
      </c>
      <c r="S33" s="3">
        <v>1</v>
      </c>
      <c r="T33" s="3">
        <v>1</v>
      </c>
      <c r="U33" s="39">
        <f t="shared" ref="U33:U34" si="62">SUM(N33:T33)</f>
        <v>5</v>
      </c>
      <c r="V33" s="3">
        <v>1</v>
      </c>
      <c r="W33" s="3">
        <v>0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9">
        <f t="shared" ref="AC33:AC34" si="63">SUM(V33:AB33)</f>
        <v>6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40">
        <f t="shared" ref="AL33:AL34" si="64">SUM(AD33:AK33)</f>
        <v>8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40">
        <f t="shared" si="4"/>
        <v>6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43">
        <f t="shared" si="5"/>
        <v>7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43">
        <f t="shared" si="6"/>
        <v>8</v>
      </c>
      <c r="BM33" s="22">
        <f t="shared" si="7"/>
        <v>47</v>
      </c>
      <c r="BN33" s="22">
        <f t="shared" si="8"/>
        <v>90.384615384615387</v>
      </c>
    </row>
    <row r="34" spans="1:66" ht="18" x14ac:dyDescent="0.35">
      <c r="A34" s="2">
        <v>29</v>
      </c>
      <c r="B34" s="16" t="s">
        <v>92</v>
      </c>
      <c r="C34" s="20" t="s">
        <v>93</v>
      </c>
      <c r="D34" s="3">
        <v>0</v>
      </c>
      <c r="E34" s="3">
        <v>1</v>
      </c>
      <c r="F34" s="3">
        <v>1</v>
      </c>
      <c r="G34" s="3">
        <v>1</v>
      </c>
      <c r="H34" s="3">
        <v>0</v>
      </c>
      <c r="I34" s="3">
        <v>1</v>
      </c>
      <c r="J34" s="3">
        <v>1</v>
      </c>
      <c r="K34" s="3">
        <v>1</v>
      </c>
      <c r="L34" s="3">
        <v>1</v>
      </c>
      <c r="M34" s="39">
        <f t="shared" si="61"/>
        <v>7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0</v>
      </c>
      <c r="U34" s="39">
        <f t="shared" si="62"/>
        <v>6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9">
        <f t="shared" si="63"/>
        <v>7</v>
      </c>
      <c r="AD34" s="3">
        <v>1</v>
      </c>
      <c r="AE34" s="3">
        <v>1</v>
      </c>
      <c r="AF34" s="3">
        <v>1</v>
      </c>
      <c r="AG34" s="3">
        <v>1</v>
      </c>
      <c r="AH34" s="3">
        <v>0</v>
      </c>
      <c r="AI34" s="3">
        <v>1</v>
      </c>
      <c r="AJ34" s="3">
        <v>1</v>
      </c>
      <c r="AK34" s="3">
        <v>1</v>
      </c>
      <c r="AL34" s="40">
        <f t="shared" si="64"/>
        <v>7</v>
      </c>
      <c r="AM34" s="3">
        <v>1</v>
      </c>
      <c r="AN34" s="3">
        <v>1</v>
      </c>
      <c r="AO34" s="3">
        <v>1</v>
      </c>
      <c r="AP34" s="3">
        <v>1</v>
      </c>
      <c r="AQ34" s="3">
        <v>1</v>
      </c>
      <c r="AR34" s="3">
        <v>1</v>
      </c>
      <c r="AS34" s="40">
        <f t="shared" si="4"/>
        <v>6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43">
        <f t="shared" si="5"/>
        <v>7</v>
      </c>
      <c r="BB34" s="3">
        <v>1</v>
      </c>
      <c r="BC34" s="3">
        <v>0</v>
      </c>
      <c r="BD34" s="3">
        <v>1</v>
      </c>
      <c r="BE34" s="3">
        <v>0</v>
      </c>
      <c r="BF34" s="3">
        <v>1</v>
      </c>
      <c r="BG34" s="3">
        <v>0</v>
      </c>
      <c r="BH34" s="3">
        <v>1</v>
      </c>
      <c r="BI34" s="3">
        <v>1</v>
      </c>
      <c r="BJ34" s="43">
        <f t="shared" si="6"/>
        <v>5</v>
      </c>
      <c r="BM34" s="22">
        <f t="shared" si="7"/>
        <v>45</v>
      </c>
      <c r="BN34" s="22">
        <f t="shared" si="8"/>
        <v>86.538461538461547</v>
      </c>
    </row>
    <row r="35" spans="1:66" ht="18" x14ac:dyDescent="0.35">
      <c r="A35" s="2">
        <v>30</v>
      </c>
      <c r="B35" s="16" t="s">
        <v>94</v>
      </c>
      <c r="C35" s="20" t="s">
        <v>95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9">
        <f t="shared" si="0"/>
        <v>9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9">
        <f t="shared" si="1"/>
        <v>7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9">
        <f t="shared" si="2"/>
        <v>7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0</v>
      </c>
      <c r="AK35" s="3">
        <v>0</v>
      </c>
      <c r="AL35" s="40">
        <f t="shared" si="3"/>
        <v>6</v>
      </c>
      <c r="AM35" s="3">
        <v>0</v>
      </c>
      <c r="AN35" s="3">
        <v>1</v>
      </c>
      <c r="AO35" s="3">
        <v>0</v>
      </c>
      <c r="AP35" s="3">
        <v>0</v>
      </c>
      <c r="AQ35" s="3">
        <v>1</v>
      </c>
      <c r="AR35" s="3">
        <v>1</v>
      </c>
      <c r="AS35" s="40">
        <f t="shared" si="4"/>
        <v>3</v>
      </c>
      <c r="AT35" s="3">
        <v>1</v>
      </c>
      <c r="AU35" s="3">
        <v>0</v>
      </c>
      <c r="AV35" s="3">
        <v>1</v>
      </c>
      <c r="AW35" s="3">
        <v>0</v>
      </c>
      <c r="AX35" s="3">
        <v>1</v>
      </c>
      <c r="AY35" s="3">
        <v>0</v>
      </c>
      <c r="AZ35" s="3">
        <v>1</v>
      </c>
      <c r="BA35" s="43">
        <f t="shared" si="5"/>
        <v>4</v>
      </c>
      <c r="BB35" s="3">
        <v>1</v>
      </c>
      <c r="BC35" s="3">
        <v>1</v>
      </c>
      <c r="BD35" s="3">
        <v>1</v>
      </c>
      <c r="BE35" s="3">
        <v>1</v>
      </c>
      <c r="BF35" s="3">
        <v>1</v>
      </c>
      <c r="BG35" s="3">
        <v>1</v>
      </c>
      <c r="BH35" s="3">
        <v>1</v>
      </c>
      <c r="BI35" s="3">
        <v>1</v>
      </c>
      <c r="BJ35" s="43">
        <f t="shared" si="6"/>
        <v>8</v>
      </c>
      <c r="BM35" s="22">
        <f t="shared" si="7"/>
        <v>44</v>
      </c>
      <c r="BN35" s="22">
        <f t="shared" si="8"/>
        <v>84.615384615384613</v>
      </c>
    </row>
    <row r="36" spans="1:66" ht="18" x14ac:dyDescent="0.35">
      <c r="A36" s="2">
        <v>31</v>
      </c>
      <c r="B36" s="16" t="s">
        <v>96</v>
      </c>
      <c r="C36" s="20" t="s">
        <v>97</v>
      </c>
      <c r="D36" s="3">
        <v>1</v>
      </c>
      <c r="E36" s="3">
        <v>1</v>
      </c>
      <c r="F36" s="3">
        <v>1</v>
      </c>
      <c r="G36" s="3">
        <v>0</v>
      </c>
      <c r="H36" s="3">
        <v>1</v>
      </c>
      <c r="I36" s="3">
        <v>1</v>
      </c>
      <c r="J36" s="3">
        <v>0</v>
      </c>
      <c r="K36" s="3">
        <v>1</v>
      </c>
      <c r="L36" s="3">
        <v>1</v>
      </c>
      <c r="M36" s="39">
        <f t="shared" ref="M36" si="65">SUM(D36:L36)</f>
        <v>7</v>
      </c>
      <c r="N36" s="3">
        <v>1</v>
      </c>
      <c r="O36" s="3">
        <v>0</v>
      </c>
      <c r="P36" s="3">
        <v>1</v>
      </c>
      <c r="Q36" s="3">
        <v>1</v>
      </c>
      <c r="R36" s="3">
        <v>0</v>
      </c>
      <c r="S36" s="3">
        <v>1</v>
      </c>
      <c r="T36" s="3">
        <v>1</v>
      </c>
      <c r="U36" s="39">
        <f t="shared" ref="U36" si="66">SUM(N36:T36)</f>
        <v>5</v>
      </c>
      <c r="V36" s="3">
        <v>1</v>
      </c>
      <c r="W36" s="3">
        <v>0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9">
        <f t="shared" ref="AC36" si="67">SUM(V36:AB36)</f>
        <v>6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1</v>
      </c>
      <c r="AL36" s="40">
        <f t="shared" ref="AL36" si="68">SUM(AD36:AK36)</f>
        <v>8</v>
      </c>
      <c r="AM36" s="3">
        <v>1</v>
      </c>
      <c r="AN36" s="3">
        <v>1</v>
      </c>
      <c r="AO36" s="3">
        <v>1</v>
      </c>
      <c r="AP36" s="3">
        <v>1</v>
      </c>
      <c r="AQ36" s="3">
        <v>1</v>
      </c>
      <c r="AR36" s="3">
        <v>1</v>
      </c>
      <c r="AS36" s="40">
        <f t="shared" si="4"/>
        <v>6</v>
      </c>
      <c r="AT36" s="3">
        <v>1</v>
      </c>
      <c r="AU36" s="3">
        <v>1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43">
        <f t="shared" si="5"/>
        <v>7</v>
      </c>
      <c r="BB36" s="3">
        <v>1</v>
      </c>
      <c r="BC36" s="3">
        <v>1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43">
        <f t="shared" si="6"/>
        <v>8</v>
      </c>
      <c r="BM36" s="22">
        <f t="shared" si="7"/>
        <v>47</v>
      </c>
      <c r="BN36" s="22">
        <f t="shared" si="8"/>
        <v>90.384615384615387</v>
      </c>
    </row>
    <row r="37" spans="1:66" ht="18" x14ac:dyDescent="0.35">
      <c r="A37" s="2">
        <v>32</v>
      </c>
      <c r="B37" s="16" t="s">
        <v>98</v>
      </c>
      <c r="C37" s="20" t="s">
        <v>99</v>
      </c>
      <c r="D37" s="3">
        <v>0</v>
      </c>
      <c r="E37" s="3">
        <v>0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9">
        <f t="shared" ref="M37:M69" si="69">SUM(D37:L37)</f>
        <v>7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9">
        <f t="shared" ref="U37:U69" si="70">SUM(N37:T37)</f>
        <v>7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9">
        <f t="shared" ref="AC37:AC69" si="71">SUM(V37:AB37)</f>
        <v>7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40">
        <f t="shared" ref="AL37:AL69" si="72">SUM(AD37:AK37)</f>
        <v>8</v>
      </c>
      <c r="AM37" s="3">
        <v>1</v>
      </c>
      <c r="AN37" s="3">
        <v>0</v>
      </c>
      <c r="AO37" s="3">
        <v>1</v>
      </c>
      <c r="AP37" s="3">
        <v>0</v>
      </c>
      <c r="AQ37" s="3">
        <v>0</v>
      </c>
      <c r="AR37" s="3">
        <v>1</v>
      </c>
      <c r="AS37" s="40">
        <f t="shared" ref="AS37:AS68" si="73">SUM(AM37:AR37)</f>
        <v>3</v>
      </c>
      <c r="AT37" s="3">
        <v>1</v>
      </c>
      <c r="AU37" s="3">
        <v>1</v>
      </c>
      <c r="AV37" s="3">
        <v>0</v>
      </c>
      <c r="AW37" s="3">
        <v>1</v>
      </c>
      <c r="AX37" s="3">
        <v>0</v>
      </c>
      <c r="AY37" s="3">
        <v>1</v>
      </c>
      <c r="AZ37" s="3">
        <v>0</v>
      </c>
      <c r="BA37" s="43">
        <f t="shared" ref="BA37:BA68" si="74">SUM(AT37:AZ37)</f>
        <v>4</v>
      </c>
      <c r="BB37" s="3">
        <v>1</v>
      </c>
      <c r="BC37" s="3">
        <v>1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43">
        <f t="shared" ref="BJ37:BJ68" si="75">SUM(BB37:BI37)</f>
        <v>8</v>
      </c>
      <c r="BM37" s="22">
        <f t="shared" ref="BM37:BM70" si="76">M37+U37+AC37+AL37+AS37+BA37+BJ37</f>
        <v>44</v>
      </c>
      <c r="BN37" s="22">
        <f t="shared" si="8"/>
        <v>84.615384615384613</v>
      </c>
    </row>
    <row r="38" spans="1:66" ht="18" x14ac:dyDescent="0.35">
      <c r="A38" s="2">
        <v>33</v>
      </c>
      <c r="B38" s="16" t="s">
        <v>100</v>
      </c>
      <c r="C38" s="20" t="s">
        <v>101</v>
      </c>
      <c r="D38" s="3">
        <v>0</v>
      </c>
      <c r="E38" s="3">
        <v>1</v>
      </c>
      <c r="F38" s="3">
        <v>1</v>
      </c>
      <c r="G38" s="3">
        <v>1</v>
      </c>
      <c r="H38" s="3">
        <v>0</v>
      </c>
      <c r="I38" s="3">
        <v>1</v>
      </c>
      <c r="J38" s="3">
        <v>1</v>
      </c>
      <c r="K38" s="3">
        <v>1</v>
      </c>
      <c r="L38" s="3">
        <v>1</v>
      </c>
      <c r="M38" s="39">
        <f t="shared" si="69"/>
        <v>7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0</v>
      </c>
      <c r="U38" s="39">
        <f t="shared" si="70"/>
        <v>6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9">
        <f t="shared" si="71"/>
        <v>7</v>
      </c>
      <c r="AD38" s="3">
        <v>1</v>
      </c>
      <c r="AE38" s="3">
        <v>1</v>
      </c>
      <c r="AF38" s="3">
        <v>1</v>
      </c>
      <c r="AG38" s="3">
        <v>1</v>
      </c>
      <c r="AH38" s="3">
        <v>0</v>
      </c>
      <c r="AI38" s="3">
        <v>1</v>
      </c>
      <c r="AJ38" s="3">
        <v>1</v>
      </c>
      <c r="AK38" s="3">
        <v>1</v>
      </c>
      <c r="AL38" s="40">
        <f t="shared" si="72"/>
        <v>7</v>
      </c>
      <c r="AM38" s="3">
        <v>1</v>
      </c>
      <c r="AN38" s="3">
        <v>1</v>
      </c>
      <c r="AO38" s="3">
        <v>1</v>
      </c>
      <c r="AP38" s="3">
        <v>1</v>
      </c>
      <c r="AQ38" s="3">
        <v>1</v>
      </c>
      <c r="AR38" s="3">
        <v>1</v>
      </c>
      <c r="AS38" s="40">
        <f t="shared" si="73"/>
        <v>6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43">
        <f t="shared" si="74"/>
        <v>7</v>
      </c>
      <c r="BB38" s="3">
        <v>1</v>
      </c>
      <c r="BC38" s="3">
        <v>0</v>
      </c>
      <c r="BD38" s="3">
        <v>1</v>
      </c>
      <c r="BE38" s="3">
        <v>0</v>
      </c>
      <c r="BF38" s="3">
        <v>1</v>
      </c>
      <c r="BG38" s="3">
        <v>1</v>
      </c>
      <c r="BH38" s="3">
        <v>1</v>
      </c>
      <c r="BI38" s="3">
        <v>1</v>
      </c>
      <c r="BJ38" s="43">
        <f t="shared" si="75"/>
        <v>6</v>
      </c>
      <c r="BM38" s="22">
        <f t="shared" si="76"/>
        <v>46</v>
      </c>
      <c r="BN38" s="22">
        <f t="shared" si="8"/>
        <v>88.461538461538453</v>
      </c>
    </row>
    <row r="39" spans="1:66" ht="18" x14ac:dyDescent="0.35">
      <c r="A39" s="2">
        <v>34</v>
      </c>
      <c r="B39" s="16" t="s">
        <v>102</v>
      </c>
      <c r="C39" s="20" t="s">
        <v>103</v>
      </c>
      <c r="D39" s="3">
        <v>1</v>
      </c>
      <c r="E39" s="3">
        <v>1</v>
      </c>
      <c r="F39" s="3">
        <v>1</v>
      </c>
      <c r="G39" s="3">
        <v>0</v>
      </c>
      <c r="H39" s="3">
        <v>1</v>
      </c>
      <c r="I39" s="3">
        <v>1</v>
      </c>
      <c r="J39" s="3">
        <v>0</v>
      </c>
      <c r="K39" s="3">
        <v>1</v>
      </c>
      <c r="L39" s="3">
        <v>1</v>
      </c>
      <c r="M39" s="39">
        <f t="shared" si="69"/>
        <v>7</v>
      </c>
      <c r="N39" s="3">
        <v>1</v>
      </c>
      <c r="O39" s="3">
        <v>0</v>
      </c>
      <c r="P39" s="3">
        <v>1</v>
      </c>
      <c r="Q39" s="3">
        <v>1</v>
      </c>
      <c r="R39" s="3">
        <v>0</v>
      </c>
      <c r="S39" s="3">
        <v>1</v>
      </c>
      <c r="T39" s="3">
        <v>1</v>
      </c>
      <c r="U39" s="39">
        <f t="shared" si="70"/>
        <v>5</v>
      </c>
      <c r="V39" s="3">
        <v>1</v>
      </c>
      <c r="W39" s="3">
        <v>0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9">
        <f t="shared" si="71"/>
        <v>6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  <c r="AI39" s="3">
        <v>1</v>
      </c>
      <c r="AJ39" s="3">
        <v>1</v>
      </c>
      <c r="AK39" s="3">
        <v>1</v>
      </c>
      <c r="AL39" s="40">
        <f t="shared" si="72"/>
        <v>8</v>
      </c>
      <c r="AM39" s="3">
        <v>1</v>
      </c>
      <c r="AN39" s="3">
        <v>1</v>
      </c>
      <c r="AO39" s="3">
        <v>1</v>
      </c>
      <c r="AP39" s="3">
        <v>1</v>
      </c>
      <c r="AQ39" s="3">
        <v>1</v>
      </c>
      <c r="AR39" s="3">
        <v>1</v>
      </c>
      <c r="AS39" s="40">
        <f t="shared" si="73"/>
        <v>6</v>
      </c>
      <c r="AT39" s="3">
        <v>1</v>
      </c>
      <c r="AU39" s="3">
        <v>1</v>
      </c>
      <c r="AV39" s="3">
        <v>1</v>
      </c>
      <c r="AW39" s="3">
        <v>1</v>
      </c>
      <c r="AX39" s="3">
        <v>1</v>
      </c>
      <c r="AY39" s="3">
        <v>1</v>
      </c>
      <c r="AZ39" s="3">
        <v>1</v>
      </c>
      <c r="BA39" s="43">
        <f t="shared" si="74"/>
        <v>7</v>
      </c>
      <c r="BB39" s="3">
        <v>1</v>
      </c>
      <c r="BC39" s="3">
        <v>1</v>
      </c>
      <c r="BD39" s="3">
        <v>1</v>
      </c>
      <c r="BE39" s="3">
        <v>1</v>
      </c>
      <c r="BF39" s="3">
        <v>1</v>
      </c>
      <c r="BG39" s="3">
        <v>1</v>
      </c>
      <c r="BH39" s="3">
        <v>1</v>
      </c>
      <c r="BI39" s="3">
        <v>1</v>
      </c>
      <c r="BJ39" s="43">
        <f t="shared" si="75"/>
        <v>8</v>
      </c>
      <c r="BM39" s="22">
        <f t="shared" si="76"/>
        <v>47</v>
      </c>
      <c r="BN39" s="22">
        <f t="shared" si="8"/>
        <v>90.384615384615387</v>
      </c>
    </row>
    <row r="40" spans="1:66" ht="18" x14ac:dyDescent="0.35">
      <c r="A40" s="2">
        <v>35</v>
      </c>
      <c r="B40" s="16" t="s">
        <v>104</v>
      </c>
      <c r="C40" s="20" t="s">
        <v>105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9">
        <f t="shared" si="69"/>
        <v>9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1</v>
      </c>
      <c r="T40" s="3">
        <v>1</v>
      </c>
      <c r="U40" s="39">
        <f t="shared" si="70"/>
        <v>6</v>
      </c>
      <c r="V40" s="3">
        <v>1</v>
      </c>
      <c r="W40" s="3">
        <v>0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9">
        <f t="shared" si="71"/>
        <v>6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1</v>
      </c>
      <c r="AK40" s="3">
        <v>0</v>
      </c>
      <c r="AL40" s="40">
        <f t="shared" si="72"/>
        <v>7</v>
      </c>
      <c r="AM40" s="3">
        <v>1</v>
      </c>
      <c r="AN40" s="3">
        <v>1</v>
      </c>
      <c r="AO40" s="3">
        <v>0</v>
      </c>
      <c r="AP40" s="3">
        <v>1</v>
      </c>
      <c r="AQ40" s="3">
        <v>0</v>
      </c>
      <c r="AR40" s="3">
        <v>0</v>
      </c>
      <c r="AS40" s="40">
        <f t="shared" si="73"/>
        <v>3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43">
        <f t="shared" si="74"/>
        <v>7</v>
      </c>
      <c r="BB40" s="3">
        <v>1</v>
      </c>
      <c r="BC40" s="3">
        <v>1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43">
        <f t="shared" si="75"/>
        <v>8</v>
      </c>
      <c r="BM40" s="22">
        <f t="shared" si="76"/>
        <v>46</v>
      </c>
      <c r="BN40" s="22">
        <f t="shared" si="8"/>
        <v>88.461538461538453</v>
      </c>
    </row>
    <row r="41" spans="1:66" ht="18" x14ac:dyDescent="0.35">
      <c r="A41" s="2">
        <v>36</v>
      </c>
      <c r="B41" s="16" t="s">
        <v>106</v>
      </c>
      <c r="C41" s="20" t="s">
        <v>107</v>
      </c>
      <c r="D41" s="3">
        <v>1</v>
      </c>
      <c r="E41" s="3">
        <v>1</v>
      </c>
      <c r="F41" s="3">
        <v>0</v>
      </c>
      <c r="G41" s="3">
        <v>0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9">
        <f t="shared" si="69"/>
        <v>7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9">
        <f t="shared" si="70"/>
        <v>7</v>
      </c>
      <c r="V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9">
        <f t="shared" si="71"/>
        <v>7</v>
      </c>
      <c r="AD41" s="3">
        <v>1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 s="3">
        <v>1</v>
      </c>
      <c r="AK41" s="3">
        <v>1</v>
      </c>
      <c r="AL41" s="40">
        <f t="shared" si="72"/>
        <v>8</v>
      </c>
      <c r="AM41" s="3">
        <v>0</v>
      </c>
      <c r="AN41" s="3">
        <v>1</v>
      </c>
      <c r="AO41" s="3">
        <v>0</v>
      </c>
      <c r="AP41" s="3">
        <v>0</v>
      </c>
      <c r="AQ41" s="3">
        <v>1</v>
      </c>
      <c r="AR41" s="3">
        <v>1</v>
      </c>
      <c r="AS41" s="40">
        <f t="shared" si="73"/>
        <v>3</v>
      </c>
      <c r="AT41" s="3">
        <v>0</v>
      </c>
      <c r="AU41" s="3">
        <v>1</v>
      </c>
      <c r="AV41" s="3">
        <v>0</v>
      </c>
      <c r="AW41" s="3">
        <v>1</v>
      </c>
      <c r="AX41" s="3">
        <v>0</v>
      </c>
      <c r="AY41" s="3">
        <v>1</v>
      </c>
      <c r="AZ41" s="3">
        <v>1</v>
      </c>
      <c r="BA41" s="43">
        <f t="shared" si="74"/>
        <v>4</v>
      </c>
      <c r="BB41" s="3">
        <v>1</v>
      </c>
      <c r="BC41" s="3">
        <v>1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>
        <v>1</v>
      </c>
      <c r="BJ41" s="43">
        <f t="shared" si="75"/>
        <v>8</v>
      </c>
      <c r="BM41" s="22">
        <f t="shared" si="76"/>
        <v>44</v>
      </c>
      <c r="BN41" s="22">
        <f t="shared" si="8"/>
        <v>84.615384615384613</v>
      </c>
    </row>
    <row r="42" spans="1:66" ht="18" x14ac:dyDescent="0.35">
      <c r="A42" s="2">
        <v>37</v>
      </c>
      <c r="B42" s="16" t="s">
        <v>108</v>
      </c>
      <c r="C42" s="20" t="s">
        <v>109</v>
      </c>
      <c r="D42" s="3">
        <v>1</v>
      </c>
      <c r="E42" s="3">
        <v>1</v>
      </c>
      <c r="F42" s="3">
        <v>1</v>
      </c>
      <c r="G42" s="3">
        <v>0</v>
      </c>
      <c r="H42" s="3">
        <v>1</v>
      </c>
      <c r="I42" s="3">
        <v>1</v>
      </c>
      <c r="J42" s="3">
        <v>0</v>
      </c>
      <c r="K42" s="3">
        <v>1</v>
      </c>
      <c r="L42" s="3">
        <v>1</v>
      </c>
      <c r="M42" s="39">
        <f t="shared" si="69"/>
        <v>7</v>
      </c>
      <c r="N42" s="3">
        <v>1</v>
      </c>
      <c r="O42" s="3">
        <v>0</v>
      </c>
      <c r="P42" s="3">
        <v>1</v>
      </c>
      <c r="Q42" s="3">
        <v>1</v>
      </c>
      <c r="R42" s="3">
        <v>0</v>
      </c>
      <c r="S42" s="3">
        <v>1</v>
      </c>
      <c r="T42" s="3">
        <v>1</v>
      </c>
      <c r="U42" s="39">
        <f t="shared" si="70"/>
        <v>5</v>
      </c>
      <c r="V42" s="3">
        <v>1</v>
      </c>
      <c r="W42" s="3">
        <v>0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9">
        <f t="shared" si="71"/>
        <v>6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40">
        <f t="shared" si="72"/>
        <v>8</v>
      </c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40">
        <f t="shared" si="73"/>
        <v>6</v>
      </c>
      <c r="AT42" s="3">
        <v>1</v>
      </c>
      <c r="AU42" s="3">
        <v>1</v>
      </c>
      <c r="AV42" s="3">
        <v>1</v>
      </c>
      <c r="AW42" s="3">
        <v>1</v>
      </c>
      <c r="AX42" s="3">
        <v>1</v>
      </c>
      <c r="AY42" s="3">
        <v>1</v>
      </c>
      <c r="AZ42" s="3">
        <v>1</v>
      </c>
      <c r="BA42" s="43">
        <f t="shared" si="74"/>
        <v>7</v>
      </c>
      <c r="BB42" s="3">
        <v>1</v>
      </c>
      <c r="BC42" s="3">
        <v>1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43">
        <f t="shared" si="75"/>
        <v>8</v>
      </c>
      <c r="BM42" s="22">
        <f t="shared" si="76"/>
        <v>47</v>
      </c>
      <c r="BN42" s="22">
        <f t="shared" si="8"/>
        <v>90.384615384615387</v>
      </c>
    </row>
    <row r="43" spans="1:66" ht="18" x14ac:dyDescent="0.35">
      <c r="A43" s="2">
        <v>38</v>
      </c>
      <c r="B43" s="16" t="s">
        <v>110</v>
      </c>
      <c r="C43" s="20" t="s">
        <v>111</v>
      </c>
      <c r="D43" s="3">
        <v>0</v>
      </c>
      <c r="E43" s="3">
        <v>1</v>
      </c>
      <c r="F43" s="3">
        <v>1</v>
      </c>
      <c r="G43" s="3">
        <v>1</v>
      </c>
      <c r="H43" s="3">
        <v>0</v>
      </c>
      <c r="I43" s="3">
        <v>1</v>
      </c>
      <c r="J43" s="3">
        <v>1</v>
      </c>
      <c r="K43" s="3">
        <v>1</v>
      </c>
      <c r="L43" s="3">
        <v>1</v>
      </c>
      <c r="M43" s="39">
        <f t="shared" si="69"/>
        <v>7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0</v>
      </c>
      <c r="U43" s="39">
        <f t="shared" si="70"/>
        <v>6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9">
        <f t="shared" si="71"/>
        <v>7</v>
      </c>
      <c r="AD43" s="3">
        <v>1</v>
      </c>
      <c r="AE43" s="3">
        <v>1</v>
      </c>
      <c r="AF43" s="3">
        <v>1</v>
      </c>
      <c r="AG43" s="3">
        <v>1</v>
      </c>
      <c r="AH43" s="3">
        <v>0</v>
      </c>
      <c r="AI43" s="3">
        <v>1</v>
      </c>
      <c r="AJ43" s="3">
        <v>1</v>
      </c>
      <c r="AK43" s="3">
        <v>1</v>
      </c>
      <c r="AL43" s="40">
        <f t="shared" si="72"/>
        <v>7</v>
      </c>
      <c r="AM43" s="3">
        <v>1</v>
      </c>
      <c r="AN43" s="3">
        <v>1</v>
      </c>
      <c r="AO43" s="3">
        <v>1</v>
      </c>
      <c r="AP43" s="3">
        <v>1</v>
      </c>
      <c r="AQ43" s="3">
        <v>1</v>
      </c>
      <c r="AR43" s="3">
        <v>1</v>
      </c>
      <c r="AS43" s="40">
        <f t="shared" si="73"/>
        <v>6</v>
      </c>
      <c r="AT43" s="3">
        <v>1</v>
      </c>
      <c r="AU43" s="3">
        <v>1</v>
      </c>
      <c r="AV43" s="3">
        <v>1</v>
      </c>
      <c r="AW43" s="3">
        <v>1</v>
      </c>
      <c r="AX43" s="3">
        <v>1</v>
      </c>
      <c r="AY43" s="3">
        <v>1</v>
      </c>
      <c r="AZ43" s="3">
        <v>1</v>
      </c>
      <c r="BA43" s="43">
        <f t="shared" si="74"/>
        <v>7</v>
      </c>
      <c r="BB43" s="3">
        <v>1</v>
      </c>
      <c r="BC43" s="3">
        <v>0</v>
      </c>
      <c r="BD43" s="3">
        <v>1</v>
      </c>
      <c r="BE43" s="3">
        <v>0</v>
      </c>
      <c r="BF43" s="3">
        <v>1</v>
      </c>
      <c r="BG43" s="3">
        <v>0</v>
      </c>
      <c r="BH43" s="3">
        <v>1</v>
      </c>
      <c r="BI43" s="3">
        <v>1</v>
      </c>
      <c r="BJ43" s="43">
        <f t="shared" si="75"/>
        <v>5</v>
      </c>
      <c r="BM43" s="22">
        <f t="shared" si="76"/>
        <v>45</v>
      </c>
      <c r="BN43" s="22">
        <f t="shared" si="8"/>
        <v>86.538461538461547</v>
      </c>
    </row>
    <row r="44" spans="1:66" ht="18" x14ac:dyDescent="0.35">
      <c r="A44" s="2">
        <v>39</v>
      </c>
      <c r="B44" s="16" t="s">
        <v>112</v>
      </c>
      <c r="C44" s="20" t="s">
        <v>113</v>
      </c>
      <c r="D44" s="3">
        <v>1</v>
      </c>
      <c r="E44" s="3">
        <v>1</v>
      </c>
      <c r="F44" s="3">
        <v>1</v>
      </c>
      <c r="G44" s="3">
        <v>0</v>
      </c>
      <c r="H44" s="3">
        <v>0</v>
      </c>
      <c r="I44" s="3">
        <v>1</v>
      </c>
      <c r="J44" s="3">
        <v>1</v>
      </c>
      <c r="K44" s="3">
        <v>1</v>
      </c>
      <c r="L44" s="3">
        <v>1</v>
      </c>
      <c r="M44" s="39">
        <f t="shared" si="69"/>
        <v>7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9">
        <f t="shared" si="70"/>
        <v>7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9">
        <f t="shared" si="71"/>
        <v>7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40">
        <f t="shared" si="72"/>
        <v>8</v>
      </c>
      <c r="AM44" s="3">
        <v>1</v>
      </c>
      <c r="AN44" s="3">
        <v>0</v>
      </c>
      <c r="AO44" s="3">
        <v>1</v>
      </c>
      <c r="AP44" s="3">
        <v>0</v>
      </c>
      <c r="AQ44" s="3">
        <v>0</v>
      </c>
      <c r="AR44" s="3">
        <v>1</v>
      </c>
      <c r="AS44" s="40">
        <f t="shared" si="73"/>
        <v>3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43">
        <f t="shared" si="74"/>
        <v>7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43">
        <f t="shared" si="75"/>
        <v>8</v>
      </c>
      <c r="BM44" s="22">
        <f t="shared" si="76"/>
        <v>47</v>
      </c>
      <c r="BN44" s="22">
        <f t="shared" si="8"/>
        <v>90.384615384615387</v>
      </c>
    </row>
    <row r="45" spans="1:66" ht="18" x14ac:dyDescent="0.35">
      <c r="A45" s="2">
        <v>40</v>
      </c>
      <c r="B45" s="16" t="s">
        <v>114</v>
      </c>
      <c r="C45" s="20" t="s">
        <v>115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9">
        <f t="shared" si="69"/>
        <v>9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1</v>
      </c>
      <c r="T45" s="3">
        <v>1</v>
      </c>
      <c r="U45" s="39">
        <f t="shared" si="70"/>
        <v>6</v>
      </c>
      <c r="V45" s="3">
        <v>1</v>
      </c>
      <c r="W45" s="3">
        <v>0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9">
        <f t="shared" si="71"/>
        <v>6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  <c r="AK45" s="3">
        <v>0</v>
      </c>
      <c r="AL45" s="40">
        <f t="shared" si="72"/>
        <v>7</v>
      </c>
      <c r="AM45" s="3">
        <v>1</v>
      </c>
      <c r="AN45" s="3">
        <v>0</v>
      </c>
      <c r="AO45" s="3">
        <v>1</v>
      </c>
      <c r="AP45" s="3">
        <v>0</v>
      </c>
      <c r="AQ45" s="3">
        <v>0</v>
      </c>
      <c r="AR45" s="3">
        <v>1</v>
      </c>
      <c r="AS45" s="40">
        <f t="shared" si="73"/>
        <v>3</v>
      </c>
      <c r="AT45" s="3">
        <v>1</v>
      </c>
      <c r="AU45" s="3">
        <v>1</v>
      </c>
      <c r="AV45" s="3">
        <v>0</v>
      </c>
      <c r="AW45" s="3">
        <v>1</v>
      </c>
      <c r="AX45" s="3">
        <v>0</v>
      </c>
      <c r="AY45" s="3">
        <v>1</v>
      </c>
      <c r="AZ45" s="3">
        <v>0</v>
      </c>
      <c r="BA45" s="43">
        <f t="shared" si="74"/>
        <v>4</v>
      </c>
      <c r="BB45" s="3">
        <v>1</v>
      </c>
      <c r="BC45" s="3">
        <v>1</v>
      </c>
      <c r="BD45" s="3">
        <v>1</v>
      </c>
      <c r="BE45" s="3">
        <v>1</v>
      </c>
      <c r="BF45" s="3">
        <v>1</v>
      </c>
      <c r="BG45" s="3">
        <v>1</v>
      </c>
      <c r="BH45" s="3">
        <v>1</v>
      </c>
      <c r="BI45" s="3">
        <v>1</v>
      </c>
      <c r="BJ45" s="43">
        <f t="shared" si="75"/>
        <v>8</v>
      </c>
      <c r="BM45" s="22">
        <f t="shared" si="76"/>
        <v>43</v>
      </c>
      <c r="BN45" s="22">
        <f t="shared" si="8"/>
        <v>82.692307692307693</v>
      </c>
    </row>
    <row r="46" spans="1:66" ht="18" x14ac:dyDescent="0.35">
      <c r="A46" s="2">
        <v>41</v>
      </c>
      <c r="B46" s="16" t="s">
        <v>116</v>
      </c>
      <c r="C46" s="20" t="s">
        <v>117</v>
      </c>
      <c r="D46" s="3">
        <v>1</v>
      </c>
      <c r="E46" s="3">
        <v>1</v>
      </c>
      <c r="F46" s="3">
        <v>1</v>
      </c>
      <c r="G46" s="3">
        <v>0</v>
      </c>
      <c r="H46" s="3">
        <v>1</v>
      </c>
      <c r="I46" s="3">
        <v>1</v>
      </c>
      <c r="J46" s="3">
        <v>0</v>
      </c>
      <c r="K46" s="3">
        <v>1</v>
      </c>
      <c r="L46" s="3">
        <v>1</v>
      </c>
      <c r="M46" s="39">
        <f t="shared" si="69"/>
        <v>7</v>
      </c>
      <c r="N46" s="3">
        <v>1</v>
      </c>
      <c r="O46" s="3">
        <v>0</v>
      </c>
      <c r="P46" s="3">
        <v>1</v>
      </c>
      <c r="Q46" s="3">
        <v>1</v>
      </c>
      <c r="R46" s="3">
        <v>0</v>
      </c>
      <c r="S46" s="3">
        <v>1</v>
      </c>
      <c r="T46" s="3">
        <v>1</v>
      </c>
      <c r="U46" s="39">
        <f t="shared" si="70"/>
        <v>5</v>
      </c>
      <c r="V46" s="3">
        <v>1</v>
      </c>
      <c r="W46" s="3">
        <v>0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9">
        <f t="shared" si="71"/>
        <v>6</v>
      </c>
      <c r="AD46" s="3">
        <v>1</v>
      </c>
      <c r="AE46" s="3">
        <v>1</v>
      </c>
      <c r="AF46" s="3">
        <v>1</v>
      </c>
      <c r="AG46" s="3">
        <v>1</v>
      </c>
      <c r="AH46" s="3">
        <v>1</v>
      </c>
      <c r="AI46" s="3">
        <v>1</v>
      </c>
      <c r="AJ46" s="3">
        <v>1</v>
      </c>
      <c r="AK46" s="3">
        <v>1</v>
      </c>
      <c r="AL46" s="40">
        <f t="shared" si="72"/>
        <v>8</v>
      </c>
      <c r="AM46" s="3">
        <v>1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40">
        <f t="shared" si="73"/>
        <v>6</v>
      </c>
      <c r="AT46" s="3">
        <v>1</v>
      </c>
      <c r="AU46" s="3">
        <v>1</v>
      </c>
      <c r="AV46" s="3">
        <v>1</v>
      </c>
      <c r="AW46" s="3">
        <v>1</v>
      </c>
      <c r="AX46" s="3">
        <v>1</v>
      </c>
      <c r="AY46" s="3">
        <v>1</v>
      </c>
      <c r="AZ46" s="3">
        <v>1</v>
      </c>
      <c r="BA46" s="43">
        <f t="shared" si="74"/>
        <v>7</v>
      </c>
      <c r="BB46" s="3">
        <v>1</v>
      </c>
      <c r="BC46" s="3">
        <v>1</v>
      </c>
      <c r="BD46" s="3">
        <v>1</v>
      </c>
      <c r="BE46" s="3">
        <v>1</v>
      </c>
      <c r="BF46" s="3">
        <v>1</v>
      </c>
      <c r="BG46" s="3">
        <v>1</v>
      </c>
      <c r="BH46" s="3">
        <v>1</v>
      </c>
      <c r="BI46" s="3">
        <v>1</v>
      </c>
      <c r="BJ46" s="43">
        <f t="shared" si="75"/>
        <v>8</v>
      </c>
      <c r="BM46" s="22">
        <f t="shared" si="76"/>
        <v>47</v>
      </c>
      <c r="BN46" s="22">
        <f t="shared" si="8"/>
        <v>90.384615384615387</v>
      </c>
    </row>
    <row r="47" spans="1:66" ht="18" x14ac:dyDescent="0.35">
      <c r="A47" s="2">
        <v>42</v>
      </c>
      <c r="B47" s="16" t="s">
        <v>118</v>
      </c>
      <c r="C47" s="20" t="s">
        <v>119</v>
      </c>
      <c r="D47" s="3">
        <v>0</v>
      </c>
      <c r="E47" s="3">
        <v>1</v>
      </c>
      <c r="F47" s="3">
        <v>1</v>
      </c>
      <c r="G47" s="3">
        <v>1</v>
      </c>
      <c r="H47" s="3">
        <v>0</v>
      </c>
      <c r="I47" s="3">
        <v>1</v>
      </c>
      <c r="J47" s="3">
        <v>1</v>
      </c>
      <c r="K47" s="3">
        <v>1</v>
      </c>
      <c r="L47" s="3">
        <v>1</v>
      </c>
      <c r="M47" s="39">
        <f t="shared" si="69"/>
        <v>7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0</v>
      </c>
      <c r="U47" s="39">
        <f t="shared" si="70"/>
        <v>6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9">
        <f t="shared" si="71"/>
        <v>7</v>
      </c>
      <c r="AD47" s="3">
        <v>1</v>
      </c>
      <c r="AE47" s="3">
        <v>1</v>
      </c>
      <c r="AF47" s="3">
        <v>1</v>
      </c>
      <c r="AG47" s="3">
        <v>1</v>
      </c>
      <c r="AH47" s="3">
        <v>0</v>
      </c>
      <c r="AI47" s="3">
        <v>1</v>
      </c>
      <c r="AJ47" s="3">
        <v>1</v>
      </c>
      <c r="AK47" s="3">
        <v>1</v>
      </c>
      <c r="AL47" s="40">
        <f t="shared" si="72"/>
        <v>7</v>
      </c>
      <c r="AM47" s="3">
        <v>1</v>
      </c>
      <c r="AN47" s="3">
        <v>1</v>
      </c>
      <c r="AO47" s="3">
        <v>1</v>
      </c>
      <c r="AP47" s="3">
        <v>1</v>
      </c>
      <c r="AQ47" s="3">
        <v>1</v>
      </c>
      <c r="AR47" s="3">
        <v>1</v>
      </c>
      <c r="AS47" s="40">
        <f t="shared" si="73"/>
        <v>6</v>
      </c>
      <c r="AT47" s="3">
        <v>1</v>
      </c>
      <c r="AU47" s="3">
        <v>1</v>
      </c>
      <c r="AV47" s="3">
        <v>1</v>
      </c>
      <c r="AW47" s="3">
        <v>1</v>
      </c>
      <c r="AX47" s="3">
        <v>1</v>
      </c>
      <c r="AY47" s="3">
        <v>1</v>
      </c>
      <c r="AZ47" s="3">
        <v>1</v>
      </c>
      <c r="BA47" s="43">
        <f t="shared" si="74"/>
        <v>7</v>
      </c>
      <c r="BB47" s="3">
        <v>1</v>
      </c>
      <c r="BC47" s="3">
        <v>0</v>
      </c>
      <c r="BD47" s="3">
        <v>1</v>
      </c>
      <c r="BE47" s="3">
        <v>0</v>
      </c>
      <c r="BF47" s="3">
        <v>1</v>
      </c>
      <c r="BG47" s="3">
        <v>0</v>
      </c>
      <c r="BH47" s="3">
        <v>1</v>
      </c>
      <c r="BI47" s="3">
        <v>1</v>
      </c>
      <c r="BJ47" s="43">
        <f t="shared" si="75"/>
        <v>5</v>
      </c>
      <c r="BM47" s="22">
        <f t="shared" si="76"/>
        <v>45</v>
      </c>
      <c r="BN47" s="22">
        <f t="shared" si="8"/>
        <v>86.538461538461547</v>
      </c>
    </row>
    <row r="48" spans="1:66" ht="18" x14ac:dyDescent="0.35">
      <c r="A48" s="2">
        <v>43</v>
      </c>
      <c r="B48" s="16" t="s">
        <v>120</v>
      </c>
      <c r="C48" s="20" t="s">
        <v>121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9">
        <f t="shared" si="69"/>
        <v>9</v>
      </c>
      <c r="N48" s="3">
        <v>1</v>
      </c>
      <c r="O48" s="3">
        <v>1</v>
      </c>
      <c r="P48" s="3">
        <v>1</v>
      </c>
      <c r="Q48" s="3">
        <v>1</v>
      </c>
      <c r="R48" s="3">
        <v>0</v>
      </c>
      <c r="S48" s="3">
        <v>1</v>
      </c>
      <c r="T48" s="3">
        <v>1</v>
      </c>
      <c r="U48" s="39">
        <f t="shared" si="70"/>
        <v>6</v>
      </c>
      <c r="V48" s="3">
        <v>1</v>
      </c>
      <c r="W48" s="3">
        <v>0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9">
        <f t="shared" si="71"/>
        <v>6</v>
      </c>
      <c r="AD48" s="3">
        <v>1</v>
      </c>
      <c r="AE48" s="3">
        <v>1</v>
      </c>
      <c r="AF48" s="3">
        <v>1</v>
      </c>
      <c r="AG48" s="3">
        <v>1</v>
      </c>
      <c r="AH48" s="3">
        <v>1</v>
      </c>
      <c r="AI48" s="3">
        <v>1</v>
      </c>
      <c r="AJ48" s="3">
        <v>1</v>
      </c>
      <c r="AK48" s="3">
        <v>0</v>
      </c>
      <c r="AL48" s="40">
        <f t="shared" si="72"/>
        <v>7</v>
      </c>
      <c r="AM48" s="3">
        <v>0</v>
      </c>
      <c r="AN48" s="3">
        <v>1</v>
      </c>
      <c r="AO48" s="3">
        <v>0</v>
      </c>
      <c r="AP48" s="3">
        <v>0</v>
      </c>
      <c r="AQ48" s="3">
        <v>1</v>
      </c>
      <c r="AR48" s="3">
        <v>1</v>
      </c>
      <c r="AS48" s="40">
        <f t="shared" si="73"/>
        <v>3</v>
      </c>
      <c r="AT48" s="3">
        <v>1</v>
      </c>
      <c r="AU48" s="3">
        <v>1</v>
      </c>
      <c r="AV48" s="3">
        <v>1</v>
      </c>
      <c r="AW48" s="3">
        <v>1</v>
      </c>
      <c r="AX48" s="3">
        <v>1</v>
      </c>
      <c r="AY48" s="3">
        <v>1</v>
      </c>
      <c r="AZ48" s="3">
        <v>1</v>
      </c>
      <c r="BA48" s="43">
        <f t="shared" si="74"/>
        <v>7</v>
      </c>
      <c r="BB48" s="3">
        <v>1</v>
      </c>
      <c r="BC48" s="3">
        <v>1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43">
        <f t="shared" si="75"/>
        <v>8</v>
      </c>
      <c r="BM48" s="22">
        <f t="shared" si="76"/>
        <v>46</v>
      </c>
      <c r="BN48" s="22">
        <f t="shared" si="8"/>
        <v>88.461538461538453</v>
      </c>
    </row>
    <row r="49" spans="1:66" ht="18" x14ac:dyDescent="0.35">
      <c r="A49" s="2">
        <v>44</v>
      </c>
      <c r="B49" s="16" t="s">
        <v>122</v>
      </c>
      <c r="C49" s="20" t="s">
        <v>123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>
        <v>0</v>
      </c>
      <c r="J49" s="3">
        <v>0</v>
      </c>
      <c r="K49" s="3">
        <v>1</v>
      </c>
      <c r="L49" s="3">
        <v>1</v>
      </c>
      <c r="M49" s="39">
        <f t="shared" si="69"/>
        <v>7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9">
        <f t="shared" si="70"/>
        <v>7</v>
      </c>
      <c r="V49" s="3">
        <v>1</v>
      </c>
      <c r="W49" s="3">
        <v>1</v>
      </c>
      <c r="X49" s="3">
        <v>1</v>
      </c>
      <c r="Y49" s="3">
        <v>1</v>
      </c>
      <c r="Z49" s="3">
        <v>1</v>
      </c>
      <c r="AA49" s="3">
        <v>1</v>
      </c>
      <c r="AB49" s="3">
        <v>1</v>
      </c>
      <c r="AC49" s="39">
        <f t="shared" si="71"/>
        <v>7</v>
      </c>
      <c r="AD49" s="3">
        <v>1</v>
      </c>
      <c r="AE49" s="3">
        <v>1</v>
      </c>
      <c r="AF49" s="3">
        <v>1</v>
      </c>
      <c r="AG49" s="3">
        <v>1</v>
      </c>
      <c r="AH49" s="3">
        <v>1</v>
      </c>
      <c r="AI49" s="3">
        <v>1</v>
      </c>
      <c r="AJ49" s="3">
        <v>1</v>
      </c>
      <c r="AK49" s="3">
        <v>1</v>
      </c>
      <c r="AL49" s="40">
        <f t="shared" si="72"/>
        <v>8</v>
      </c>
      <c r="AM49" s="3">
        <v>1</v>
      </c>
      <c r="AN49" s="3">
        <v>0</v>
      </c>
      <c r="AO49" s="3">
        <v>1</v>
      </c>
      <c r="AP49" s="3">
        <v>0</v>
      </c>
      <c r="AQ49" s="3">
        <v>0</v>
      </c>
      <c r="AR49" s="3">
        <v>1</v>
      </c>
      <c r="AS49" s="40">
        <f t="shared" si="73"/>
        <v>3</v>
      </c>
      <c r="AT49" s="3">
        <v>1</v>
      </c>
      <c r="AU49" s="3">
        <v>1</v>
      </c>
      <c r="AV49" s="3">
        <v>0</v>
      </c>
      <c r="AW49" s="3">
        <v>1</v>
      </c>
      <c r="AX49" s="3">
        <v>0</v>
      </c>
      <c r="AY49" s="3">
        <v>1</v>
      </c>
      <c r="AZ49" s="3">
        <v>0</v>
      </c>
      <c r="BA49" s="43">
        <f t="shared" si="74"/>
        <v>4</v>
      </c>
      <c r="BB49" s="3">
        <v>1</v>
      </c>
      <c r="BC49" s="3">
        <v>1</v>
      </c>
      <c r="BD49" s="3">
        <v>1</v>
      </c>
      <c r="BE49" s="3">
        <v>1</v>
      </c>
      <c r="BF49" s="3">
        <v>1</v>
      </c>
      <c r="BG49" s="3">
        <v>1</v>
      </c>
      <c r="BH49" s="3">
        <v>1</v>
      </c>
      <c r="BI49" s="3">
        <v>1</v>
      </c>
      <c r="BJ49" s="43">
        <f t="shared" si="75"/>
        <v>8</v>
      </c>
      <c r="BM49" s="22">
        <f t="shared" si="76"/>
        <v>44</v>
      </c>
      <c r="BN49" s="22">
        <f t="shared" si="8"/>
        <v>84.615384615384613</v>
      </c>
    </row>
    <row r="50" spans="1:66" ht="18" x14ac:dyDescent="0.35">
      <c r="A50" s="2">
        <v>45</v>
      </c>
      <c r="B50" s="16" t="s">
        <v>124</v>
      </c>
      <c r="C50" s="20" t="s">
        <v>125</v>
      </c>
      <c r="D50" s="3">
        <v>1</v>
      </c>
      <c r="E50" s="3">
        <v>1</v>
      </c>
      <c r="F50" s="3">
        <v>1</v>
      </c>
      <c r="G50" s="3">
        <v>0</v>
      </c>
      <c r="H50" s="3">
        <v>1</v>
      </c>
      <c r="I50" s="3">
        <v>1</v>
      </c>
      <c r="J50" s="3">
        <v>0</v>
      </c>
      <c r="K50" s="3">
        <v>1</v>
      </c>
      <c r="L50" s="3">
        <v>1</v>
      </c>
      <c r="M50" s="39">
        <f t="shared" si="69"/>
        <v>7</v>
      </c>
      <c r="N50" s="3">
        <v>1</v>
      </c>
      <c r="O50" s="3">
        <v>0</v>
      </c>
      <c r="P50" s="3">
        <v>1</v>
      </c>
      <c r="Q50" s="3">
        <v>1</v>
      </c>
      <c r="R50" s="3">
        <v>0</v>
      </c>
      <c r="S50" s="3">
        <v>1</v>
      </c>
      <c r="T50" s="3">
        <v>1</v>
      </c>
      <c r="U50" s="39">
        <f t="shared" si="70"/>
        <v>5</v>
      </c>
      <c r="V50" s="3">
        <v>1</v>
      </c>
      <c r="W50" s="3">
        <v>0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9">
        <f t="shared" si="71"/>
        <v>6</v>
      </c>
      <c r="AD50" s="3">
        <v>1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1</v>
      </c>
      <c r="AL50" s="40">
        <f t="shared" si="72"/>
        <v>8</v>
      </c>
      <c r="AM50" s="3">
        <v>1</v>
      </c>
      <c r="AN50" s="3">
        <v>1</v>
      </c>
      <c r="AO50" s="3">
        <v>1</v>
      </c>
      <c r="AP50" s="3">
        <v>1</v>
      </c>
      <c r="AQ50" s="3">
        <v>1</v>
      </c>
      <c r="AR50" s="3">
        <v>1</v>
      </c>
      <c r="AS50" s="40">
        <f t="shared" si="73"/>
        <v>6</v>
      </c>
      <c r="AT50" s="3">
        <v>1</v>
      </c>
      <c r="AU50" s="3">
        <v>1</v>
      </c>
      <c r="AV50" s="3">
        <v>1</v>
      </c>
      <c r="AW50" s="3">
        <v>1</v>
      </c>
      <c r="AX50" s="3">
        <v>1</v>
      </c>
      <c r="AY50" s="3">
        <v>1</v>
      </c>
      <c r="AZ50" s="3">
        <v>1</v>
      </c>
      <c r="BA50" s="43">
        <f t="shared" si="74"/>
        <v>7</v>
      </c>
      <c r="BB50" s="3">
        <v>1</v>
      </c>
      <c r="BC50" s="3">
        <v>1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43">
        <f t="shared" si="75"/>
        <v>8</v>
      </c>
      <c r="BM50" s="22">
        <f t="shared" si="76"/>
        <v>47</v>
      </c>
      <c r="BN50" s="22">
        <f t="shared" si="8"/>
        <v>90.384615384615387</v>
      </c>
    </row>
    <row r="51" spans="1:66" ht="18" x14ac:dyDescent="0.35">
      <c r="A51" s="2">
        <v>46</v>
      </c>
      <c r="B51" s="16" t="s">
        <v>126</v>
      </c>
      <c r="C51" s="20" t="s">
        <v>127</v>
      </c>
      <c r="D51" s="3">
        <v>0</v>
      </c>
      <c r="E51" s="3">
        <v>1</v>
      </c>
      <c r="F51" s="3">
        <v>1</v>
      </c>
      <c r="G51" s="3">
        <v>1</v>
      </c>
      <c r="H51" s="3">
        <v>0</v>
      </c>
      <c r="I51" s="3">
        <v>1</v>
      </c>
      <c r="J51" s="3">
        <v>1</v>
      </c>
      <c r="K51" s="3">
        <v>1</v>
      </c>
      <c r="L51" s="3">
        <v>1</v>
      </c>
      <c r="M51" s="39">
        <f t="shared" si="69"/>
        <v>7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0</v>
      </c>
      <c r="U51" s="39">
        <f t="shared" si="70"/>
        <v>6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9">
        <f t="shared" si="71"/>
        <v>7</v>
      </c>
      <c r="AD51" s="3">
        <v>1</v>
      </c>
      <c r="AE51" s="3">
        <v>1</v>
      </c>
      <c r="AF51" s="3">
        <v>1</v>
      </c>
      <c r="AG51" s="3">
        <v>1</v>
      </c>
      <c r="AH51" s="3">
        <v>0</v>
      </c>
      <c r="AI51" s="3">
        <v>1</v>
      </c>
      <c r="AJ51" s="3">
        <v>1</v>
      </c>
      <c r="AK51" s="3">
        <v>1</v>
      </c>
      <c r="AL51" s="40">
        <f t="shared" si="72"/>
        <v>7</v>
      </c>
      <c r="AM51" s="3">
        <v>1</v>
      </c>
      <c r="AN51" s="3">
        <v>0</v>
      </c>
      <c r="AO51" s="3">
        <v>1</v>
      </c>
      <c r="AP51" s="3">
        <v>0</v>
      </c>
      <c r="AQ51" s="3">
        <v>0</v>
      </c>
      <c r="AR51" s="3">
        <v>1</v>
      </c>
      <c r="AS51" s="40">
        <f t="shared" si="73"/>
        <v>3</v>
      </c>
      <c r="AT51" s="3">
        <v>0</v>
      </c>
      <c r="AU51" s="3">
        <v>1</v>
      </c>
      <c r="AV51" s="3">
        <v>0</v>
      </c>
      <c r="AW51" s="3">
        <v>1</v>
      </c>
      <c r="AX51" s="3">
        <v>0</v>
      </c>
      <c r="AY51" s="3">
        <v>1</v>
      </c>
      <c r="AZ51" s="3">
        <v>1</v>
      </c>
      <c r="BA51" s="43">
        <f t="shared" si="74"/>
        <v>4</v>
      </c>
      <c r="BB51" s="3">
        <v>0</v>
      </c>
      <c r="BC51" s="3">
        <v>0</v>
      </c>
      <c r="BD51" s="3">
        <v>1</v>
      </c>
      <c r="BE51" s="3">
        <v>1</v>
      </c>
      <c r="BF51" s="3">
        <v>1</v>
      </c>
      <c r="BG51" s="3">
        <v>1</v>
      </c>
      <c r="BH51" s="3">
        <v>1</v>
      </c>
      <c r="BI51" s="3">
        <v>1</v>
      </c>
      <c r="BJ51" s="43">
        <f t="shared" si="75"/>
        <v>6</v>
      </c>
      <c r="BM51" s="22">
        <f t="shared" si="76"/>
        <v>40</v>
      </c>
      <c r="BN51" s="22">
        <f t="shared" si="8"/>
        <v>76.923076923076934</v>
      </c>
    </row>
    <row r="52" spans="1:66" ht="18" x14ac:dyDescent="0.35">
      <c r="A52" s="2">
        <v>47</v>
      </c>
      <c r="B52" s="16" t="s">
        <v>128</v>
      </c>
      <c r="C52" s="20" t="s">
        <v>129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9">
        <f t="shared" si="69"/>
        <v>9</v>
      </c>
      <c r="N52" s="3">
        <v>1</v>
      </c>
      <c r="O52" s="3">
        <v>1</v>
      </c>
      <c r="P52" s="3">
        <v>1</v>
      </c>
      <c r="Q52" s="3">
        <v>1</v>
      </c>
      <c r="R52" s="3">
        <v>0</v>
      </c>
      <c r="S52" s="3">
        <v>1</v>
      </c>
      <c r="T52" s="3">
        <v>1</v>
      </c>
      <c r="U52" s="39">
        <f t="shared" si="70"/>
        <v>6</v>
      </c>
      <c r="V52" s="3">
        <v>1</v>
      </c>
      <c r="W52" s="3">
        <v>0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9">
        <f t="shared" si="71"/>
        <v>6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3">
        <v>1</v>
      </c>
      <c r="AJ52" s="3">
        <v>1</v>
      </c>
      <c r="AK52" s="3">
        <v>0</v>
      </c>
      <c r="AL52" s="40">
        <f t="shared" si="72"/>
        <v>7</v>
      </c>
      <c r="AM52" s="3">
        <v>1</v>
      </c>
      <c r="AN52" s="3">
        <v>1</v>
      </c>
      <c r="AO52" s="3">
        <v>0</v>
      </c>
      <c r="AP52" s="3">
        <v>1</v>
      </c>
      <c r="AQ52" s="3">
        <v>0</v>
      </c>
      <c r="AR52" s="3">
        <v>0</v>
      </c>
      <c r="AS52" s="40">
        <f t="shared" si="73"/>
        <v>3</v>
      </c>
      <c r="AT52" s="3">
        <v>1</v>
      </c>
      <c r="AU52" s="3">
        <v>1</v>
      </c>
      <c r="AV52" s="3">
        <v>1</v>
      </c>
      <c r="AW52" s="3">
        <v>1</v>
      </c>
      <c r="AX52" s="3">
        <v>1</v>
      </c>
      <c r="AY52" s="3">
        <v>1</v>
      </c>
      <c r="AZ52" s="3">
        <v>1</v>
      </c>
      <c r="BA52" s="43">
        <f t="shared" si="74"/>
        <v>7</v>
      </c>
      <c r="BB52" s="3">
        <v>1</v>
      </c>
      <c r="BC52" s="3">
        <v>1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43">
        <f t="shared" si="75"/>
        <v>8</v>
      </c>
      <c r="BM52" s="22">
        <f t="shared" si="76"/>
        <v>46</v>
      </c>
      <c r="BN52" s="22">
        <f t="shared" si="8"/>
        <v>88.461538461538453</v>
      </c>
    </row>
    <row r="53" spans="1:66" ht="18" x14ac:dyDescent="0.35">
      <c r="A53" s="2">
        <v>48</v>
      </c>
      <c r="B53" s="16" t="s">
        <v>130</v>
      </c>
      <c r="C53" s="20" t="s">
        <v>131</v>
      </c>
      <c r="D53" s="3">
        <v>1</v>
      </c>
      <c r="E53" s="3">
        <v>1</v>
      </c>
      <c r="F53" s="3">
        <v>1</v>
      </c>
      <c r="G53" s="3">
        <v>0</v>
      </c>
      <c r="H53" s="3">
        <v>1</v>
      </c>
      <c r="I53" s="3">
        <v>1</v>
      </c>
      <c r="J53" s="3">
        <v>0</v>
      </c>
      <c r="K53" s="3">
        <v>1</v>
      </c>
      <c r="L53" s="3">
        <v>1</v>
      </c>
      <c r="M53" s="39">
        <f t="shared" si="69"/>
        <v>7</v>
      </c>
      <c r="N53" s="3">
        <v>1</v>
      </c>
      <c r="O53" s="3">
        <v>0</v>
      </c>
      <c r="P53" s="3">
        <v>1</v>
      </c>
      <c r="Q53" s="3">
        <v>1</v>
      </c>
      <c r="R53" s="3">
        <v>0</v>
      </c>
      <c r="S53" s="3">
        <v>1</v>
      </c>
      <c r="T53" s="3">
        <v>1</v>
      </c>
      <c r="U53" s="39">
        <f t="shared" si="70"/>
        <v>5</v>
      </c>
      <c r="V53" s="3">
        <v>1</v>
      </c>
      <c r="W53" s="3">
        <v>0</v>
      </c>
      <c r="X53" s="3">
        <v>1</v>
      </c>
      <c r="Y53" s="3">
        <v>1</v>
      </c>
      <c r="Z53" s="3">
        <v>1</v>
      </c>
      <c r="AA53" s="3">
        <v>1</v>
      </c>
      <c r="AB53" s="3">
        <v>1</v>
      </c>
      <c r="AC53" s="39">
        <f t="shared" si="71"/>
        <v>6</v>
      </c>
      <c r="AD53" s="3">
        <v>1</v>
      </c>
      <c r="AE53" s="3">
        <v>1</v>
      </c>
      <c r="AF53" s="3">
        <v>1</v>
      </c>
      <c r="AG53" s="3">
        <v>1</v>
      </c>
      <c r="AH53" s="3">
        <v>1</v>
      </c>
      <c r="AI53" s="3">
        <v>1</v>
      </c>
      <c r="AJ53" s="3">
        <v>1</v>
      </c>
      <c r="AK53" s="3">
        <v>1</v>
      </c>
      <c r="AL53" s="40">
        <f t="shared" si="72"/>
        <v>8</v>
      </c>
      <c r="AM53" s="3">
        <v>1</v>
      </c>
      <c r="AN53" s="3">
        <v>1</v>
      </c>
      <c r="AO53" s="3">
        <v>1</v>
      </c>
      <c r="AP53" s="3">
        <v>1</v>
      </c>
      <c r="AQ53" s="3">
        <v>1</v>
      </c>
      <c r="AR53" s="3">
        <v>1</v>
      </c>
      <c r="AS53" s="40">
        <f t="shared" si="73"/>
        <v>6</v>
      </c>
      <c r="AT53" s="3">
        <v>1</v>
      </c>
      <c r="AU53" s="3">
        <v>1</v>
      </c>
      <c r="AV53" s="3">
        <v>1</v>
      </c>
      <c r="AW53" s="3">
        <v>1</v>
      </c>
      <c r="AX53" s="3">
        <v>1</v>
      </c>
      <c r="AY53" s="3">
        <v>1</v>
      </c>
      <c r="AZ53" s="3">
        <v>1</v>
      </c>
      <c r="BA53" s="43">
        <f t="shared" si="74"/>
        <v>7</v>
      </c>
      <c r="BB53" s="3">
        <v>1</v>
      </c>
      <c r="BC53" s="3">
        <v>1</v>
      </c>
      <c r="BD53" s="3">
        <v>1</v>
      </c>
      <c r="BE53" s="3">
        <v>1</v>
      </c>
      <c r="BF53" s="3">
        <v>1</v>
      </c>
      <c r="BG53" s="3">
        <v>1</v>
      </c>
      <c r="BH53" s="3">
        <v>1</v>
      </c>
      <c r="BI53" s="3">
        <v>1</v>
      </c>
      <c r="BJ53" s="43">
        <f t="shared" si="75"/>
        <v>8</v>
      </c>
      <c r="BM53" s="22">
        <f t="shared" si="76"/>
        <v>47</v>
      </c>
      <c r="BN53" s="22">
        <f t="shared" si="8"/>
        <v>90.384615384615387</v>
      </c>
    </row>
    <row r="54" spans="1:66" ht="18" x14ac:dyDescent="0.35">
      <c r="A54" s="2">
        <v>49</v>
      </c>
      <c r="B54" s="16" t="s">
        <v>132</v>
      </c>
      <c r="C54" s="20" t="s">
        <v>133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0</v>
      </c>
      <c r="K54" s="3">
        <v>0</v>
      </c>
      <c r="L54" s="3">
        <v>1</v>
      </c>
      <c r="M54" s="39">
        <f t="shared" si="69"/>
        <v>7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9">
        <f t="shared" si="70"/>
        <v>7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9">
        <f t="shared" si="71"/>
        <v>7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3">
        <v>1</v>
      </c>
      <c r="AJ54" s="3">
        <v>1</v>
      </c>
      <c r="AK54" s="3">
        <v>1</v>
      </c>
      <c r="AL54" s="40">
        <f t="shared" si="72"/>
        <v>8</v>
      </c>
      <c r="AM54" s="3">
        <v>1</v>
      </c>
      <c r="AN54" s="3">
        <v>1</v>
      </c>
      <c r="AO54" s="3">
        <v>0</v>
      </c>
      <c r="AP54" s="3">
        <v>1</v>
      </c>
      <c r="AQ54" s="3">
        <v>0</v>
      </c>
      <c r="AR54" s="3">
        <v>0</v>
      </c>
      <c r="AS54" s="40">
        <f t="shared" si="73"/>
        <v>3</v>
      </c>
      <c r="AT54" s="3">
        <v>0</v>
      </c>
      <c r="AU54" s="3">
        <v>1</v>
      </c>
      <c r="AV54" s="3">
        <v>0</v>
      </c>
      <c r="AW54" s="3">
        <v>1</v>
      </c>
      <c r="AX54" s="3">
        <v>0</v>
      </c>
      <c r="AY54" s="3">
        <v>1</v>
      </c>
      <c r="AZ54" s="3">
        <v>1</v>
      </c>
      <c r="BA54" s="43">
        <f t="shared" si="74"/>
        <v>4</v>
      </c>
      <c r="BB54" s="3">
        <v>1</v>
      </c>
      <c r="BC54" s="3">
        <v>1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43">
        <f t="shared" si="75"/>
        <v>8</v>
      </c>
      <c r="BM54" s="22">
        <f t="shared" si="76"/>
        <v>44</v>
      </c>
      <c r="BN54" s="22">
        <f t="shared" si="8"/>
        <v>84.615384615384613</v>
      </c>
    </row>
    <row r="55" spans="1:66" ht="18" x14ac:dyDescent="0.35">
      <c r="A55" s="2">
        <v>50</v>
      </c>
      <c r="B55" s="16" t="s">
        <v>134</v>
      </c>
      <c r="C55" s="20" t="s">
        <v>135</v>
      </c>
      <c r="D55" s="3">
        <v>0</v>
      </c>
      <c r="E55" s="3">
        <v>1</v>
      </c>
      <c r="F55" s="3">
        <v>1</v>
      </c>
      <c r="G55" s="3">
        <v>1</v>
      </c>
      <c r="H55" s="3">
        <v>0</v>
      </c>
      <c r="I55" s="3">
        <v>1</v>
      </c>
      <c r="J55" s="3">
        <v>1</v>
      </c>
      <c r="K55" s="3">
        <v>1</v>
      </c>
      <c r="L55" s="3">
        <v>1</v>
      </c>
      <c r="M55" s="39">
        <f t="shared" si="69"/>
        <v>7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0</v>
      </c>
      <c r="U55" s="39">
        <f t="shared" si="70"/>
        <v>6</v>
      </c>
      <c r="V55" s="3">
        <v>1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  <c r="AB55" s="3">
        <v>1</v>
      </c>
      <c r="AC55" s="39">
        <f t="shared" si="71"/>
        <v>7</v>
      </c>
      <c r="AD55" s="3">
        <v>1</v>
      </c>
      <c r="AE55" s="3">
        <v>1</v>
      </c>
      <c r="AF55" s="3">
        <v>1</v>
      </c>
      <c r="AG55" s="3">
        <v>1</v>
      </c>
      <c r="AH55" s="3">
        <v>0</v>
      </c>
      <c r="AI55" s="3">
        <v>1</v>
      </c>
      <c r="AJ55" s="3">
        <v>1</v>
      </c>
      <c r="AK55" s="3">
        <v>1</v>
      </c>
      <c r="AL55" s="40">
        <f t="shared" si="72"/>
        <v>7</v>
      </c>
      <c r="AM55" s="3">
        <v>1</v>
      </c>
      <c r="AN55" s="3">
        <v>1</v>
      </c>
      <c r="AO55" s="3">
        <v>1</v>
      </c>
      <c r="AP55" s="3">
        <v>1</v>
      </c>
      <c r="AQ55" s="3">
        <v>1</v>
      </c>
      <c r="AR55" s="3">
        <v>1</v>
      </c>
      <c r="AS55" s="40">
        <f t="shared" si="73"/>
        <v>6</v>
      </c>
      <c r="AT55" s="3">
        <v>1</v>
      </c>
      <c r="AU55" s="3">
        <v>1</v>
      </c>
      <c r="AV55" s="3">
        <v>1</v>
      </c>
      <c r="AW55" s="3">
        <v>1</v>
      </c>
      <c r="AX55" s="3">
        <v>1</v>
      </c>
      <c r="AY55" s="3">
        <v>1</v>
      </c>
      <c r="AZ55" s="3">
        <v>1</v>
      </c>
      <c r="BA55" s="43">
        <f t="shared" si="74"/>
        <v>7</v>
      </c>
      <c r="BB55" s="3">
        <v>1</v>
      </c>
      <c r="BC55" s="3">
        <v>0</v>
      </c>
      <c r="BD55" s="3">
        <v>1</v>
      </c>
      <c r="BE55" s="3">
        <v>0</v>
      </c>
      <c r="BF55" s="3">
        <v>1</v>
      </c>
      <c r="BG55" s="3">
        <v>0</v>
      </c>
      <c r="BH55" s="3">
        <v>1</v>
      </c>
      <c r="BI55" s="3">
        <v>1</v>
      </c>
      <c r="BJ55" s="43">
        <f t="shared" si="75"/>
        <v>5</v>
      </c>
      <c r="BM55" s="22">
        <f t="shared" si="76"/>
        <v>45</v>
      </c>
      <c r="BN55" s="22">
        <f t="shared" si="8"/>
        <v>86.538461538461547</v>
      </c>
    </row>
    <row r="56" spans="1:66" ht="18" x14ac:dyDescent="0.35">
      <c r="A56" s="2">
        <v>51</v>
      </c>
      <c r="B56" s="16" t="s">
        <v>136</v>
      </c>
      <c r="C56" s="20" t="s">
        <v>137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9">
        <f t="shared" si="69"/>
        <v>9</v>
      </c>
      <c r="N56" s="3">
        <v>1</v>
      </c>
      <c r="O56" s="3">
        <v>1</v>
      </c>
      <c r="P56" s="3">
        <v>1</v>
      </c>
      <c r="Q56" s="3">
        <v>1</v>
      </c>
      <c r="R56" s="3">
        <v>0</v>
      </c>
      <c r="S56" s="3">
        <v>1</v>
      </c>
      <c r="T56" s="3">
        <v>1</v>
      </c>
      <c r="U56" s="39">
        <f t="shared" si="70"/>
        <v>6</v>
      </c>
      <c r="V56" s="3">
        <v>1</v>
      </c>
      <c r="W56" s="3">
        <v>0</v>
      </c>
      <c r="X56" s="3">
        <v>1</v>
      </c>
      <c r="Y56" s="3">
        <v>1</v>
      </c>
      <c r="Z56" s="3">
        <v>1</v>
      </c>
      <c r="AA56" s="3">
        <v>1</v>
      </c>
      <c r="AB56" s="3">
        <v>1</v>
      </c>
      <c r="AC56" s="39">
        <f t="shared" si="71"/>
        <v>6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3">
        <v>1</v>
      </c>
      <c r="AJ56" s="3">
        <v>1</v>
      </c>
      <c r="AK56" s="3">
        <v>0</v>
      </c>
      <c r="AL56" s="40">
        <f t="shared" si="72"/>
        <v>7</v>
      </c>
      <c r="AM56" s="3">
        <v>1</v>
      </c>
      <c r="AN56" s="3">
        <v>1</v>
      </c>
      <c r="AO56" s="3">
        <v>0</v>
      </c>
      <c r="AP56" s="3">
        <v>1</v>
      </c>
      <c r="AQ56" s="3">
        <v>0</v>
      </c>
      <c r="AR56" s="3">
        <v>0</v>
      </c>
      <c r="AS56" s="40">
        <f t="shared" si="73"/>
        <v>3</v>
      </c>
      <c r="AT56" s="3">
        <v>1</v>
      </c>
      <c r="AU56" s="3">
        <v>1</v>
      </c>
      <c r="AV56" s="3">
        <v>1</v>
      </c>
      <c r="AW56" s="3">
        <v>1</v>
      </c>
      <c r="AX56" s="3">
        <v>1</v>
      </c>
      <c r="AY56" s="3">
        <v>1</v>
      </c>
      <c r="AZ56" s="3">
        <v>1</v>
      </c>
      <c r="BA56" s="43">
        <f t="shared" si="74"/>
        <v>7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1</v>
      </c>
      <c r="BH56" s="3">
        <v>1</v>
      </c>
      <c r="BI56" s="3">
        <v>1</v>
      </c>
      <c r="BJ56" s="43">
        <f t="shared" si="75"/>
        <v>8</v>
      </c>
      <c r="BM56" s="22">
        <f t="shared" si="76"/>
        <v>46</v>
      </c>
      <c r="BN56" s="22">
        <f t="shared" si="8"/>
        <v>88.461538461538453</v>
      </c>
    </row>
    <row r="57" spans="1:66" ht="18" x14ac:dyDescent="0.35">
      <c r="A57" s="2">
        <v>52</v>
      </c>
      <c r="B57" s="16" t="s">
        <v>138</v>
      </c>
      <c r="C57" s="20" t="s">
        <v>139</v>
      </c>
      <c r="D57" s="3">
        <v>1</v>
      </c>
      <c r="E57" s="3">
        <v>1</v>
      </c>
      <c r="F57" s="3">
        <v>1</v>
      </c>
      <c r="G57" s="3">
        <v>0</v>
      </c>
      <c r="H57" s="3">
        <v>1</v>
      </c>
      <c r="I57" s="3">
        <v>1</v>
      </c>
      <c r="J57" s="3">
        <v>0</v>
      </c>
      <c r="K57" s="3">
        <v>1</v>
      </c>
      <c r="L57" s="3">
        <v>1</v>
      </c>
      <c r="M57" s="39">
        <f t="shared" si="69"/>
        <v>7</v>
      </c>
      <c r="N57" s="3">
        <v>1</v>
      </c>
      <c r="O57" s="3">
        <v>0</v>
      </c>
      <c r="P57" s="3">
        <v>1</v>
      </c>
      <c r="Q57" s="3">
        <v>1</v>
      </c>
      <c r="R57" s="3">
        <v>0</v>
      </c>
      <c r="S57" s="3">
        <v>1</v>
      </c>
      <c r="T57" s="3">
        <v>1</v>
      </c>
      <c r="U57" s="39">
        <f t="shared" si="70"/>
        <v>5</v>
      </c>
      <c r="V57" s="3">
        <v>1</v>
      </c>
      <c r="W57" s="3">
        <v>0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9">
        <f t="shared" si="71"/>
        <v>6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40">
        <f t="shared" si="72"/>
        <v>8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40">
        <f t="shared" si="73"/>
        <v>6</v>
      </c>
      <c r="AT57" s="3">
        <v>1</v>
      </c>
      <c r="AU57" s="3">
        <v>1</v>
      </c>
      <c r="AV57" s="3">
        <v>1</v>
      </c>
      <c r="AW57" s="3">
        <v>1</v>
      </c>
      <c r="AX57" s="3">
        <v>1</v>
      </c>
      <c r="AY57" s="3">
        <v>1</v>
      </c>
      <c r="AZ57" s="3">
        <v>1</v>
      </c>
      <c r="BA57" s="43">
        <f t="shared" si="74"/>
        <v>7</v>
      </c>
      <c r="BB57" s="3">
        <v>1</v>
      </c>
      <c r="BC57" s="3">
        <v>1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>
        <v>1</v>
      </c>
      <c r="BJ57" s="43">
        <f t="shared" si="75"/>
        <v>8</v>
      </c>
      <c r="BM57" s="22">
        <f t="shared" si="76"/>
        <v>47</v>
      </c>
      <c r="BN57" s="22">
        <f t="shared" si="8"/>
        <v>90.384615384615387</v>
      </c>
    </row>
    <row r="58" spans="1:66" ht="18" x14ac:dyDescent="0.35">
      <c r="A58" s="2">
        <v>53</v>
      </c>
      <c r="B58" s="16" t="s">
        <v>140</v>
      </c>
      <c r="C58" s="20" t="s">
        <v>141</v>
      </c>
      <c r="D58" s="3">
        <v>0</v>
      </c>
      <c r="E58" s="3">
        <v>1</v>
      </c>
      <c r="F58" s="3">
        <v>1</v>
      </c>
      <c r="G58" s="3">
        <v>1</v>
      </c>
      <c r="H58" s="3">
        <v>0</v>
      </c>
      <c r="I58" s="3">
        <v>1</v>
      </c>
      <c r="J58" s="3">
        <v>1</v>
      </c>
      <c r="K58" s="3">
        <v>1</v>
      </c>
      <c r="L58" s="3">
        <v>1</v>
      </c>
      <c r="M58" s="39">
        <f t="shared" si="69"/>
        <v>7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0</v>
      </c>
      <c r="U58" s="39">
        <f t="shared" si="70"/>
        <v>6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9">
        <f t="shared" si="71"/>
        <v>7</v>
      </c>
      <c r="AD58" s="3">
        <v>1</v>
      </c>
      <c r="AE58" s="3">
        <v>1</v>
      </c>
      <c r="AF58" s="3">
        <v>1</v>
      </c>
      <c r="AG58" s="3">
        <v>1</v>
      </c>
      <c r="AH58" s="3">
        <v>0</v>
      </c>
      <c r="AI58" s="3">
        <v>1</v>
      </c>
      <c r="AJ58" s="3">
        <v>1</v>
      </c>
      <c r="AK58" s="3">
        <v>1</v>
      </c>
      <c r="AL58" s="40">
        <f t="shared" si="72"/>
        <v>7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40">
        <f t="shared" si="73"/>
        <v>6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43">
        <f t="shared" si="74"/>
        <v>7</v>
      </c>
      <c r="BB58" s="3">
        <v>0</v>
      </c>
      <c r="BC58" s="3">
        <v>1</v>
      </c>
      <c r="BD58" s="3">
        <v>0</v>
      </c>
      <c r="BE58" s="3">
        <v>1</v>
      </c>
      <c r="BF58" s="3">
        <v>0</v>
      </c>
      <c r="BG58" s="3">
        <v>1</v>
      </c>
      <c r="BH58" s="3">
        <v>1</v>
      </c>
      <c r="BI58" s="3">
        <v>1</v>
      </c>
      <c r="BJ58" s="43">
        <f t="shared" si="75"/>
        <v>5</v>
      </c>
      <c r="BM58" s="22">
        <f t="shared" si="76"/>
        <v>45</v>
      </c>
      <c r="BN58" s="22">
        <f t="shared" si="8"/>
        <v>86.538461538461547</v>
      </c>
    </row>
    <row r="59" spans="1:66" ht="18" x14ac:dyDescent="0.35">
      <c r="A59" s="2">
        <v>54</v>
      </c>
      <c r="B59" s="16" t="s">
        <v>142</v>
      </c>
      <c r="C59" s="20" t="s">
        <v>143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0</v>
      </c>
      <c r="L59" s="3">
        <v>0</v>
      </c>
      <c r="M59" s="39">
        <f t="shared" si="69"/>
        <v>7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9">
        <f t="shared" si="70"/>
        <v>7</v>
      </c>
      <c r="V59" s="3">
        <v>1</v>
      </c>
      <c r="W59" s="3">
        <v>1</v>
      </c>
      <c r="X59" s="3">
        <v>1</v>
      </c>
      <c r="Y59" s="3">
        <v>1</v>
      </c>
      <c r="Z59" s="3">
        <v>1</v>
      </c>
      <c r="AA59" s="3">
        <v>1</v>
      </c>
      <c r="AB59" s="3">
        <v>1</v>
      </c>
      <c r="AC59" s="39">
        <f t="shared" si="71"/>
        <v>7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 s="3">
        <v>1</v>
      </c>
      <c r="AK59" s="3">
        <v>1</v>
      </c>
      <c r="AL59" s="40">
        <f t="shared" si="72"/>
        <v>8</v>
      </c>
      <c r="AM59" s="3">
        <v>0</v>
      </c>
      <c r="AN59" s="3">
        <v>1</v>
      </c>
      <c r="AO59" s="3">
        <v>0</v>
      </c>
      <c r="AP59" s="3">
        <v>0</v>
      </c>
      <c r="AQ59" s="3">
        <v>1</v>
      </c>
      <c r="AR59" s="3">
        <v>1</v>
      </c>
      <c r="AS59" s="40">
        <f t="shared" si="73"/>
        <v>3</v>
      </c>
      <c r="AT59" s="3">
        <v>1</v>
      </c>
      <c r="AU59" s="3">
        <v>1</v>
      </c>
      <c r="AV59" s="3">
        <v>0</v>
      </c>
      <c r="AW59" s="3">
        <v>1</v>
      </c>
      <c r="AX59" s="3">
        <v>0</v>
      </c>
      <c r="AY59" s="3">
        <v>1</v>
      </c>
      <c r="AZ59" s="3">
        <v>0</v>
      </c>
      <c r="BA59" s="43">
        <f t="shared" si="74"/>
        <v>4</v>
      </c>
      <c r="BB59" s="3">
        <v>1</v>
      </c>
      <c r="BC59" s="3">
        <v>1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  <c r="BI59" s="3">
        <v>1</v>
      </c>
      <c r="BJ59" s="43">
        <f t="shared" si="75"/>
        <v>8</v>
      </c>
      <c r="BM59" s="22">
        <f t="shared" si="76"/>
        <v>44</v>
      </c>
      <c r="BN59" s="22">
        <f t="shared" si="8"/>
        <v>84.615384615384613</v>
      </c>
    </row>
    <row r="60" spans="1:66" ht="18" x14ac:dyDescent="0.35">
      <c r="A60" s="2">
        <v>55</v>
      </c>
      <c r="B60" s="16" t="s">
        <v>144</v>
      </c>
      <c r="C60" s="20" t="s">
        <v>145</v>
      </c>
      <c r="D60" s="3">
        <v>1</v>
      </c>
      <c r="E60" s="3">
        <v>1</v>
      </c>
      <c r="F60" s="3">
        <v>1</v>
      </c>
      <c r="G60" s="3">
        <v>0</v>
      </c>
      <c r="H60" s="3">
        <v>1</v>
      </c>
      <c r="I60" s="3">
        <v>1</v>
      </c>
      <c r="J60" s="3">
        <v>0</v>
      </c>
      <c r="K60" s="3">
        <v>1</v>
      </c>
      <c r="L60" s="3">
        <v>1</v>
      </c>
      <c r="M60" s="39">
        <f t="shared" si="69"/>
        <v>7</v>
      </c>
      <c r="N60" s="3">
        <v>1</v>
      </c>
      <c r="O60" s="3">
        <v>0</v>
      </c>
      <c r="P60" s="3">
        <v>1</v>
      </c>
      <c r="Q60" s="3">
        <v>1</v>
      </c>
      <c r="R60" s="3">
        <v>0</v>
      </c>
      <c r="S60" s="3">
        <v>1</v>
      </c>
      <c r="T60" s="3">
        <v>1</v>
      </c>
      <c r="U60" s="39">
        <f t="shared" si="70"/>
        <v>5</v>
      </c>
      <c r="V60" s="3">
        <v>1</v>
      </c>
      <c r="W60" s="3">
        <v>0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9">
        <f t="shared" si="71"/>
        <v>6</v>
      </c>
      <c r="AD60" s="3">
        <v>1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1</v>
      </c>
      <c r="AK60" s="3">
        <v>1</v>
      </c>
      <c r="AL60" s="40">
        <f t="shared" si="72"/>
        <v>8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40">
        <f t="shared" si="73"/>
        <v>6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43">
        <f t="shared" si="74"/>
        <v>7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43">
        <f t="shared" si="75"/>
        <v>8</v>
      </c>
      <c r="BM60" s="22">
        <f t="shared" si="76"/>
        <v>47</v>
      </c>
      <c r="BN60" s="22">
        <f t="shared" si="8"/>
        <v>90.384615384615387</v>
      </c>
    </row>
    <row r="61" spans="1:66" ht="18" x14ac:dyDescent="0.35">
      <c r="A61" s="2">
        <v>56</v>
      </c>
      <c r="B61" s="16" t="s">
        <v>146</v>
      </c>
      <c r="C61" s="20" t="s">
        <v>147</v>
      </c>
      <c r="D61" s="3">
        <v>0</v>
      </c>
      <c r="E61" s="3">
        <v>1</v>
      </c>
      <c r="F61" s="3">
        <v>1</v>
      </c>
      <c r="G61" s="3">
        <v>1</v>
      </c>
      <c r="H61" s="3">
        <v>0</v>
      </c>
      <c r="I61" s="3">
        <v>1</v>
      </c>
      <c r="J61" s="3">
        <v>1</v>
      </c>
      <c r="K61" s="3">
        <v>1</v>
      </c>
      <c r="L61" s="3">
        <v>1</v>
      </c>
      <c r="M61" s="39">
        <f t="shared" si="69"/>
        <v>7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0</v>
      </c>
      <c r="U61" s="39">
        <f t="shared" si="70"/>
        <v>6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9">
        <f t="shared" si="71"/>
        <v>7</v>
      </c>
      <c r="AD61" s="3">
        <v>1</v>
      </c>
      <c r="AE61" s="3">
        <v>1</v>
      </c>
      <c r="AF61" s="3">
        <v>1</v>
      </c>
      <c r="AG61" s="3">
        <v>1</v>
      </c>
      <c r="AH61" s="3">
        <v>0</v>
      </c>
      <c r="AI61" s="3">
        <v>1</v>
      </c>
      <c r="AJ61" s="3">
        <v>1</v>
      </c>
      <c r="AK61" s="3">
        <v>1</v>
      </c>
      <c r="AL61" s="40">
        <f t="shared" si="72"/>
        <v>7</v>
      </c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3">
        <v>1</v>
      </c>
      <c r="AS61" s="40">
        <f t="shared" si="73"/>
        <v>6</v>
      </c>
      <c r="AT61" s="3">
        <v>1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43">
        <f t="shared" si="74"/>
        <v>7</v>
      </c>
      <c r="BB61" s="3">
        <v>1</v>
      </c>
      <c r="BC61" s="3">
        <v>0</v>
      </c>
      <c r="BD61" s="3">
        <v>1</v>
      </c>
      <c r="BE61" s="3">
        <v>0</v>
      </c>
      <c r="BF61" s="3">
        <v>1</v>
      </c>
      <c r="BG61" s="3">
        <v>1</v>
      </c>
      <c r="BH61" s="3">
        <v>1</v>
      </c>
      <c r="BI61" s="3">
        <v>1</v>
      </c>
      <c r="BJ61" s="43">
        <f t="shared" si="75"/>
        <v>6</v>
      </c>
      <c r="BM61" s="22">
        <f t="shared" si="76"/>
        <v>46</v>
      </c>
      <c r="BN61" s="22">
        <f t="shared" si="8"/>
        <v>88.461538461538453</v>
      </c>
    </row>
    <row r="62" spans="1:66" ht="18" x14ac:dyDescent="0.35">
      <c r="A62" s="2">
        <v>57</v>
      </c>
      <c r="B62" s="16" t="s">
        <v>148</v>
      </c>
      <c r="C62" s="20" t="s">
        <v>149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9">
        <f t="shared" si="69"/>
        <v>9</v>
      </c>
      <c r="N62" s="3">
        <v>1</v>
      </c>
      <c r="O62" s="3">
        <v>1</v>
      </c>
      <c r="P62" s="3">
        <v>1</v>
      </c>
      <c r="Q62" s="3">
        <v>1</v>
      </c>
      <c r="R62" s="3">
        <v>0</v>
      </c>
      <c r="S62" s="3">
        <v>1</v>
      </c>
      <c r="T62" s="3">
        <v>1</v>
      </c>
      <c r="U62" s="39">
        <f t="shared" si="70"/>
        <v>6</v>
      </c>
      <c r="V62" s="3">
        <v>1</v>
      </c>
      <c r="W62" s="3">
        <v>0</v>
      </c>
      <c r="X62" s="3">
        <v>1</v>
      </c>
      <c r="Y62" s="3">
        <v>1</v>
      </c>
      <c r="Z62" s="3">
        <v>1</v>
      </c>
      <c r="AA62" s="3">
        <v>1</v>
      </c>
      <c r="AB62" s="3">
        <v>1</v>
      </c>
      <c r="AC62" s="39">
        <f t="shared" si="71"/>
        <v>6</v>
      </c>
      <c r="AD62" s="3">
        <v>1</v>
      </c>
      <c r="AE62" s="3">
        <v>1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0</v>
      </c>
      <c r="AL62" s="40">
        <f t="shared" si="72"/>
        <v>7</v>
      </c>
      <c r="AM62" s="3">
        <v>1</v>
      </c>
      <c r="AN62" s="3">
        <v>0</v>
      </c>
      <c r="AO62" s="3">
        <v>1</v>
      </c>
      <c r="AP62" s="3">
        <v>0</v>
      </c>
      <c r="AQ62" s="3">
        <v>0</v>
      </c>
      <c r="AR62" s="3">
        <v>1</v>
      </c>
      <c r="AS62" s="40">
        <f t="shared" si="73"/>
        <v>3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43">
        <f t="shared" si="74"/>
        <v>7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43">
        <f t="shared" si="75"/>
        <v>8</v>
      </c>
      <c r="BM62" s="22">
        <f t="shared" si="76"/>
        <v>46</v>
      </c>
      <c r="BN62" s="22">
        <f t="shared" si="8"/>
        <v>88.461538461538453</v>
      </c>
    </row>
    <row r="63" spans="1:66" ht="18" x14ac:dyDescent="0.35">
      <c r="A63" s="2">
        <v>58</v>
      </c>
      <c r="B63" s="16" t="s">
        <v>150</v>
      </c>
      <c r="C63" s="20" t="s">
        <v>151</v>
      </c>
      <c r="D63" s="3">
        <v>1</v>
      </c>
      <c r="E63" s="3">
        <v>1</v>
      </c>
      <c r="F63" s="3">
        <v>1</v>
      </c>
      <c r="G63" s="3">
        <v>0</v>
      </c>
      <c r="H63" s="3">
        <v>1</v>
      </c>
      <c r="I63" s="3">
        <v>1</v>
      </c>
      <c r="J63" s="3">
        <v>0</v>
      </c>
      <c r="K63" s="3">
        <v>1</v>
      </c>
      <c r="L63" s="3">
        <v>1</v>
      </c>
      <c r="M63" s="39">
        <f t="shared" si="69"/>
        <v>7</v>
      </c>
      <c r="N63" s="3">
        <v>1</v>
      </c>
      <c r="O63" s="3">
        <v>0</v>
      </c>
      <c r="P63" s="3">
        <v>1</v>
      </c>
      <c r="Q63" s="3">
        <v>1</v>
      </c>
      <c r="R63" s="3">
        <v>0</v>
      </c>
      <c r="S63" s="3">
        <v>1</v>
      </c>
      <c r="T63" s="3">
        <v>1</v>
      </c>
      <c r="U63" s="39">
        <f t="shared" si="70"/>
        <v>5</v>
      </c>
      <c r="V63" s="3">
        <v>1</v>
      </c>
      <c r="W63" s="3">
        <v>0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  <c r="AC63" s="39">
        <f t="shared" si="71"/>
        <v>6</v>
      </c>
      <c r="AD63" s="3">
        <v>1</v>
      </c>
      <c r="AE63" s="3">
        <v>1</v>
      </c>
      <c r="AF63" s="3">
        <v>1</v>
      </c>
      <c r="AG63" s="3">
        <v>1</v>
      </c>
      <c r="AH63" s="3">
        <v>1</v>
      </c>
      <c r="AI63" s="3">
        <v>1</v>
      </c>
      <c r="AJ63" s="3">
        <v>1</v>
      </c>
      <c r="AK63" s="3">
        <v>1</v>
      </c>
      <c r="AL63" s="40">
        <f t="shared" si="72"/>
        <v>8</v>
      </c>
      <c r="AM63" s="3">
        <v>1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40">
        <f t="shared" si="73"/>
        <v>6</v>
      </c>
      <c r="AT63" s="3">
        <v>1</v>
      </c>
      <c r="AU63" s="3">
        <v>1</v>
      </c>
      <c r="AV63" s="3">
        <v>1</v>
      </c>
      <c r="AW63" s="3">
        <v>1</v>
      </c>
      <c r="AX63" s="3">
        <v>1</v>
      </c>
      <c r="AY63" s="3">
        <v>1</v>
      </c>
      <c r="AZ63" s="3">
        <v>1</v>
      </c>
      <c r="BA63" s="43">
        <f t="shared" si="74"/>
        <v>7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  <c r="BI63" s="3">
        <v>1</v>
      </c>
      <c r="BJ63" s="43">
        <f t="shared" si="75"/>
        <v>8</v>
      </c>
      <c r="BM63" s="22">
        <f t="shared" si="76"/>
        <v>47</v>
      </c>
      <c r="BN63" s="22">
        <f t="shared" si="8"/>
        <v>90.384615384615387</v>
      </c>
    </row>
    <row r="64" spans="1:66" ht="18" x14ac:dyDescent="0.35">
      <c r="A64" s="2">
        <v>59</v>
      </c>
      <c r="B64" s="16" t="s">
        <v>152</v>
      </c>
      <c r="C64" s="20" t="s">
        <v>153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9">
        <f t="shared" si="69"/>
        <v>9</v>
      </c>
      <c r="N64" s="3">
        <v>0</v>
      </c>
      <c r="O64" s="3">
        <v>0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9">
        <f t="shared" si="70"/>
        <v>5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9">
        <f t="shared" si="71"/>
        <v>7</v>
      </c>
      <c r="AD64" s="3">
        <v>1</v>
      </c>
      <c r="AE64" s="3">
        <v>1</v>
      </c>
      <c r="AF64" s="3">
        <v>1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40">
        <f t="shared" si="72"/>
        <v>8</v>
      </c>
      <c r="AM64" s="3">
        <v>1</v>
      </c>
      <c r="AN64" s="3">
        <v>1</v>
      </c>
      <c r="AO64" s="3">
        <v>0</v>
      </c>
      <c r="AP64" s="3">
        <v>1</v>
      </c>
      <c r="AQ64" s="3">
        <v>0</v>
      </c>
      <c r="AR64" s="3">
        <v>0</v>
      </c>
      <c r="AS64" s="40">
        <f t="shared" si="73"/>
        <v>3</v>
      </c>
      <c r="AT64" s="3">
        <v>1</v>
      </c>
      <c r="AU64" s="3">
        <v>0</v>
      </c>
      <c r="AV64" s="3">
        <v>1</v>
      </c>
      <c r="AW64" s="3">
        <v>0</v>
      </c>
      <c r="AX64" s="3">
        <v>1</v>
      </c>
      <c r="AY64" s="3">
        <v>0</v>
      </c>
      <c r="AZ64" s="3">
        <v>1</v>
      </c>
      <c r="BA64" s="43">
        <f t="shared" si="74"/>
        <v>4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43">
        <f t="shared" si="75"/>
        <v>8</v>
      </c>
      <c r="BM64" s="22">
        <f t="shared" si="76"/>
        <v>44</v>
      </c>
      <c r="BN64" s="22">
        <f t="shared" si="8"/>
        <v>84.615384615384613</v>
      </c>
    </row>
    <row r="65" spans="1:66" ht="18" x14ac:dyDescent="0.35">
      <c r="A65" s="2">
        <v>60</v>
      </c>
      <c r="B65" s="16" t="s">
        <v>154</v>
      </c>
      <c r="C65" s="20" t="s">
        <v>155</v>
      </c>
      <c r="D65" s="3">
        <v>0</v>
      </c>
      <c r="E65" s="3">
        <v>1</v>
      </c>
      <c r="F65" s="3">
        <v>1</v>
      </c>
      <c r="G65" s="3">
        <v>1</v>
      </c>
      <c r="H65" s="3">
        <v>0</v>
      </c>
      <c r="I65" s="3">
        <v>1</v>
      </c>
      <c r="J65" s="3">
        <v>1</v>
      </c>
      <c r="K65" s="3">
        <v>1</v>
      </c>
      <c r="L65" s="3">
        <v>1</v>
      </c>
      <c r="M65" s="39">
        <f t="shared" si="69"/>
        <v>7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0</v>
      </c>
      <c r="U65" s="39">
        <f t="shared" si="70"/>
        <v>6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1</v>
      </c>
      <c r="AC65" s="39">
        <f t="shared" si="71"/>
        <v>7</v>
      </c>
      <c r="AD65" s="3">
        <v>1</v>
      </c>
      <c r="AE65" s="3">
        <v>1</v>
      </c>
      <c r="AF65" s="3">
        <v>1</v>
      </c>
      <c r="AG65" s="3">
        <v>1</v>
      </c>
      <c r="AH65" s="3">
        <v>0</v>
      </c>
      <c r="AI65" s="3">
        <v>1</v>
      </c>
      <c r="AJ65" s="3">
        <v>1</v>
      </c>
      <c r="AK65" s="3">
        <v>1</v>
      </c>
      <c r="AL65" s="40">
        <f t="shared" si="72"/>
        <v>7</v>
      </c>
      <c r="AM65" s="3">
        <v>1</v>
      </c>
      <c r="AN65" s="3">
        <v>1</v>
      </c>
      <c r="AO65" s="3">
        <v>1</v>
      </c>
      <c r="AP65" s="3">
        <v>1</v>
      </c>
      <c r="AQ65" s="3">
        <v>1</v>
      </c>
      <c r="AR65" s="3">
        <v>1</v>
      </c>
      <c r="AS65" s="40">
        <f t="shared" si="73"/>
        <v>6</v>
      </c>
      <c r="AT65" s="3">
        <v>1</v>
      </c>
      <c r="AU65" s="3">
        <v>1</v>
      </c>
      <c r="AV65" s="3">
        <v>1</v>
      </c>
      <c r="AW65" s="3">
        <v>1</v>
      </c>
      <c r="AX65" s="3">
        <v>1</v>
      </c>
      <c r="AY65" s="3">
        <v>1</v>
      </c>
      <c r="AZ65" s="3">
        <v>1</v>
      </c>
      <c r="BA65" s="43">
        <f t="shared" si="74"/>
        <v>7</v>
      </c>
      <c r="BB65" s="3">
        <v>1</v>
      </c>
      <c r="BC65" s="3">
        <v>0</v>
      </c>
      <c r="BD65" s="3">
        <v>1</v>
      </c>
      <c r="BE65" s="3">
        <v>0</v>
      </c>
      <c r="BF65" s="3">
        <v>1</v>
      </c>
      <c r="BG65" s="3">
        <v>0</v>
      </c>
      <c r="BH65" s="3">
        <v>1</v>
      </c>
      <c r="BI65" s="3">
        <v>1</v>
      </c>
      <c r="BJ65" s="43">
        <f t="shared" si="75"/>
        <v>5</v>
      </c>
      <c r="BM65" s="22">
        <f t="shared" si="76"/>
        <v>45</v>
      </c>
      <c r="BN65" s="22">
        <f t="shared" si="8"/>
        <v>86.538461538461547</v>
      </c>
    </row>
    <row r="66" spans="1:66" ht="18" x14ac:dyDescent="0.35">
      <c r="A66" s="2">
        <v>61</v>
      </c>
      <c r="B66" s="16" t="s">
        <v>156</v>
      </c>
      <c r="C66" s="20" t="s">
        <v>157</v>
      </c>
      <c r="D66" s="3">
        <v>1</v>
      </c>
      <c r="E66" s="3">
        <v>1</v>
      </c>
      <c r="F66" s="3">
        <v>1</v>
      </c>
      <c r="G66" s="3">
        <v>0</v>
      </c>
      <c r="H66" s="3">
        <v>1</v>
      </c>
      <c r="I66" s="3">
        <v>1</v>
      </c>
      <c r="J66" s="3">
        <v>0</v>
      </c>
      <c r="K66" s="3">
        <v>1</v>
      </c>
      <c r="L66" s="3">
        <v>1</v>
      </c>
      <c r="M66" s="39">
        <f t="shared" si="69"/>
        <v>7</v>
      </c>
      <c r="N66" s="3">
        <v>1</v>
      </c>
      <c r="O66" s="3">
        <v>0</v>
      </c>
      <c r="P66" s="3">
        <v>1</v>
      </c>
      <c r="Q66" s="3">
        <v>1</v>
      </c>
      <c r="R66" s="3">
        <v>0</v>
      </c>
      <c r="S66" s="3">
        <v>1</v>
      </c>
      <c r="T66" s="3">
        <v>1</v>
      </c>
      <c r="U66" s="39">
        <f t="shared" si="70"/>
        <v>5</v>
      </c>
      <c r="V66" s="3">
        <v>1</v>
      </c>
      <c r="W66" s="3">
        <v>0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9">
        <f t="shared" si="71"/>
        <v>6</v>
      </c>
      <c r="AD66" s="3">
        <v>1</v>
      </c>
      <c r="AE66" s="3">
        <v>1</v>
      </c>
      <c r="AF66" s="3">
        <v>1</v>
      </c>
      <c r="AG66" s="3">
        <v>1</v>
      </c>
      <c r="AH66" s="3">
        <v>1</v>
      </c>
      <c r="AI66" s="3">
        <v>1</v>
      </c>
      <c r="AJ66" s="3">
        <v>1</v>
      </c>
      <c r="AK66" s="3">
        <v>1</v>
      </c>
      <c r="AL66" s="40">
        <f t="shared" si="72"/>
        <v>8</v>
      </c>
      <c r="AM66" s="3">
        <v>1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40">
        <f t="shared" si="73"/>
        <v>6</v>
      </c>
      <c r="AT66" s="3">
        <v>1</v>
      </c>
      <c r="AU66" s="3">
        <v>1</v>
      </c>
      <c r="AV66" s="3">
        <v>1</v>
      </c>
      <c r="AW66" s="3">
        <v>1</v>
      </c>
      <c r="AX66" s="3">
        <v>1</v>
      </c>
      <c r="AY66" s="3">
        <v>1</v>
      </c>
      <c r="AZ66" s="3">
        <v>1</v>
      </c>
      <c r="BA66" s="43">
        <f t="shared" si="74"/>
        <v>7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43">
        <f t="shared" si="75"/>
        <v>8</v>
      </c>
      <c r="BM66" s="22">
        <f t="shared" si="76"/>
        <v>47</v>
      </c>
      <c r="BN66" s="22">
        <f t="shared" si="8"/>
        <v>90.384615384615387</v>
      </c>
    </row>
    <row r="67" spans="1:66" ht="18" x14ac:dyDescent="0.35">
      <c r="A67" s="2">
        <v>62</v>
      </c>
      <c r="B67" s="16" t="s">
        <v>158</v>
      </c>
      <c r="C67" s="20" t="s">
        <v>159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9">
        <f t="shared" si="69"/>
        <v>9</v>
      </c>
      <c r="N67" s="3">
        <v>1</v>
      </c>
      <c r="O67" s="3">
        <v>1</v>
      </c>
      <c r="P67" s="3">
        <v>1</v>
      </c>
      <c r="Q67" s="3">
        <v>1</v>
      </c>
      <c r="R67" s="3">
        <v>0</v>
      </c>
      <c r="S67" s="3">
        <v>1</v>
      </c>
      <c r="T67" s="3">
        <v>1</v>
      </c>
      <c r="U67" s="39">
        <f t="shared" si="70"/>
        <v>6</v>
      </c>
      <c r="V67" s="3">
        <v>1</v>
      </c>
      <c r="W67" s="3">
        <v>0</v>
      </c>
      <c r="X67" s="3">
        <v>1</v>
      </c>
      <c r="Y67" s="3">
        <v>1</v>
      </c>
      <c r="Z67" s="3">
        <v>1</v>
      </c>
      <c r="AA67" s="3">
        <v>1</v>
      </c>
      <c r="AB67" s="3">
        <v>1</v>
      </c>
      <c r="AC67" s="39">
        <f t="shared" si="71"/>
        <v>6</v>
      </c>
      <c r="AD67" s="3">
        <v>1</v>
      </c>
      <c r="AE67" s="3">
        <v>1</v>
      </c>
      <c r="AF67" s="3">
        <v>1</v>
      </c>
      <c r="AG67" s="3">
        <v>1</v>
      </c>
      <c r="AH67" s="3">
        <v>1</v>
      </c>
      <c r="AI67" s="3">
        <v>1</v>
      </c>
      <c r="AJ67" s="3">
        <v>1</v>
      </c>
      <c r="AK67" s="3">
        <v>0</v>
      </c>
      <c r="AL67" s="40">
        <f t="shared" si="72"/>
        <v>7</v>
      </c>
      <c r="AM67" s="3">
        <v>0</v>
      </c>
      <c r="AN67" s="3">
        <v>1</v>
      </c>
      <c r="AO67" s="3">
        <v>0</v>
      </c>
      <c r="AP67" s="3">
        <v>0</v>
      </c>
      <c r="AQ67" s="3">
        <v>1</v>
      </c>
      <c r="AR67" s="3">
        <v>1</v>
      </c>
      <c r="AS67" s="40">
        <f t="shared" si="73"/>
        <v>3</v>
      </c>
      <c r="AT67" s="3">
        <v>1</v>
      </c>
      <c r="AU67" s="3">
        <v>1</v>
      </c>
      <c r="AV67" s="3">
        <v>0</v>
      </c>
      <c r="AW67" s="3">
        <v>1</v>
      </c>
      <c r="AX67" s="3">
        <v>0</v>
      </c>
      <c r="AY67" s="3">
        <v>1</v>
      </c>
      <c r="AZ67" s="3">
        <v>0</v>
      </c>
      <c r="BA67" s="43">
        <f t="shared" si="74"/>
        <v>4</v>
      </c>
      <c r="BB67" s="3">
        <v>1</v>
      </c>
      <c r="BC67" s="3">
        <v>1</v>
      </c>
      <c r="BD67" s="3">
        <v>1</v>
      </c>
      <c r="BE67" s="3">
        <v>1</v>
      </c>
      <c r="BF67" s="3">
        <v>1</v>
      </c>
      <c r="BG67" s="3">
        <v>1</v>
      </c>
      <c r="BH67" s="3">
        <v>1</v>
      </c>
      <c r="BI67" s="3">
        <v>1</v>
      </c>
      <c r="BJ67" s="43">
        <f t="shared" si="75"/>
        <v>8</v>
      </c>
      <c r="BM67" s="22">
        <f t="shared" si="76"/>
        <v>43</v>
      </c>
      <c r="BN67" s="22">
        <f t="shared" si="8"/>
        <v>82.692307692307693</v>
      </c>
    </row>
    <row r="68" spans="1:66" ht="18" x14ac:dyDescent="0.35">
      <c r="A68" s="2">
        <v>63</v>
      </c>
      <c r="B68" s="16" t="s">
        <v>160</v>
      </c>
      <c r="C68" s="20" t="s">
        <v>161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9">
        <f t="shared" si="69"/>
        <v>9</v>
      </c>
      <c r="N68" s="3">
        <v>1</v>
      </c>
      <c r="O68" s="3">
        <v>1</v>
      </c>
      <c r="P68" s="3">
        <v>0</v>
      </c>
      <c r="Q68" s="3">
        <v>0</v>
      </c>
      <c r="R68" s="3">
        <v>1</v>
      </c>
      <c r="S68" s="3">
        <v>1</v>
      </c>
      <c r="T68" s="3">
        <v>1</v>
      </c>
      <c r="U68" s="39">
        <f t="shared" si="70"/>
        <v>5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9">
        <f t="shared" si="71"/>
        <v>7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3">
        <v>1</v>
      </c>
      <c r="AJ68" s="3">
        <v>1</v>
      </c>
      <c r="AK68" s="3">
        <v>1</v>
      </c>
      <c r="AL68" s="40">
        <f t="shared" si="72"/>
        <v>8</v>
      </c>
      <c r="AM68" s="3">
        <v>1</v>
      </c>
      <c r="AN68" s="3">
        <v>1</v>
      </c>
      <c r="AO68" s="3">
        <v>0</v>
      </c>
      <c r="AP68" s="3">
        <v>1</v>
      </c>
      <c r="AQ68" s="3">
        <v>0</v>
      </c>
      <c r="AR68" s="3">
        <v>0</v>
      </c>
      <c r="AS68" s="40">
        <f t="shared" si="73"/>
        <v>3</v>
      </c>
      <c r="AT68" s="3">
        <v>1</v>
      </c>
      <c r="AU68" s="3">
        <v>1</v>
      </c>
      <c r="AV68" s="3">
        <v>1</v>
      </c>
      <c r="AW68" s="3">
        <v>1</v>
      </c>
      <c r="AX68" s="3">
        <v>1</v>
      </c>
      <c r="AY68" s="3">
        <v>1</v>
      </c>
      <c r="AZ68" s="3">
        <v>1</v>
      </c>
      <c r="BA68" s="43">
        <f t="shared" si="74"/>
        <v>7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>
        <v>1</v>
      </c>
      <c r="BJ68" s="43">
        <f t="shared" si="75"/>
        <v>8</v>
      </c>
      <c r="BM68" s="22">
        <f t="shared" si="76"/>
        <v>47</v>
      </c>
      <c r="BN68" s="22">
        <f t="shared" si="8"/>
        <v>90.384615384615387</v>
      </c>
    </row>
    <row r="69" spans="1:66" ht="18" x14ac:dyDescent="0.35">
      <c r="A69" s="2">
        <v>64</v>
      </c>
      <c r="B69" s="16" t="s">
        <v>162</v>
      </c>
      <c r="C69" s="20" t="s">
        <v>163</v>
      </c>
      <c r="D69" s="3">
        <v>0</v>
      </c>
      <c r="E69" s="3">
        <v>1</v>
      </c>
      <c r="F69" s="3">
        <v>1</v>
      </c>
      <c r="G69" s="3">
        <v>1</v>
      </c>
      <c r="H69" s="3">
        <v>0</v>
      </c>
      <c r="I69" s="3">
        <v>1</v>
      </c>
      <c r="J69" s="3">
        <v>1</v>
      </c>
      <c r="K69" s="3">
        <v>1</v>
      </c>
      <c r="L69" s="3">
        <v>1</v>
      </c>
      <c r="M69" s="39">
        <f t="shared" si="69"/>
        <v>7</v>
      </c>
      <c r="N69" s="3">
        <v>1</v>
      </c>
      <c r="O69" s="3">
        <v>1</v>
      </c>
      <c r="P69" s="3">
        <v>1</v>
      </c>
      <c r="Q69" s="3">
        <v>1</v>
      </c>
      <c r="R69" s="3">
        <v>1</v>
      </c>
      <c r="S69" s="3">
        <v>1</v>
      </c>
      <c r="T69" s="3">
        <v>0</v>
      </c>
      <c r="U69" s="39">
        <f t="shared" si="70"/>
        <v>6</v>
      </c>
      <c r="V69" s="3">
        <v>1</v>
      </c>
      <c r="W69" s="3">
        <v>1</v>
      </c>
      <c r="X69" s="3">
        <v>1</v>
      </c>
      <c r="Y69" s="3">
        <v>1</v>
      </c>
      <c r="Z69" s="3">
        <v>1</v>
      </c>
      <c r="AA69" s="3">
        <v>1</v>
      </c>
      <c r="AB69" s="3">
        <v>1</v>
      </c>
      <c r="AC69" s="39">
        <f t="shared" si="71"/>
        <v>7</v>
      </c>
      <c r="AD69" s="3">
        <v>1</v>
      </c>
      <c r="AE69" s="3">
        <v>1</v>
      </c>
      <c r="AF69" s="3">
        <v>1</v>
      </c>
      <c r="AG69" s="3">
        <v>1</v>
      </c>
      <c r="AH69" s="3">
        <v>0</v>
      </c>
      <c r="AI69" s="3">
        <v>1</v>
      </c>
      <c r="AJ69" s="3">
        <v>1</v>
      </c>
      <c r="AK69" s="3">
        <v>1</v>
      </c>
      <c r="AL69" s="40">
        <f t="shared" si="72"/>
        <v>7</v>
      </c>
      <c r="AM69" s="3">
        <v>1</v>
      </c>
      <c r="AN69" s="3">
        <v>1</v>
      </c>
      <c r="AO69" s="3">
        <v>1</v>
      </c>
      <c r="AP69" s="3">
        <v>1</v>
      </c>
      <c r="AQ69" s="3">
        <v>1</v>
      </c>
      <c r="AR69" s="3">
        <v>1</v>
      </c>
      <c r="AS69" s="40">
        <f t="shared" ref="AS69:AS70" si="77">SUM(AM69:AR69)</f>
        <v>6</v>
      </c>
      <c r="AT69" s="3">
        <v>1</v>
      </c>
      <c r="AU69" s="3">
        <v>1</v>
      </c>
      <c r="AV69" s="3">
        <v>1</v>
      </c>
      <c r="AW69" s="3">
        <v>1</v>
      </c>
      <c r="AX69" s="3">
        <v>1</v>
      </c>
      <c r="AY69" s="3">
        <v>1</v>
      </c>
      <c r="AZ69" s="3">
        <v>1</v>
      </c>
      <c r="BA69" s="43">
        <f t="shared" ref="BA69:BA70" si="78">SUM(AT69:AZ69)</f>
        <v>7</v>
      </c>
      <c r="BB69" s="3">
        <v>1</v>
      </c>
      <c r="BC69" s="3">
        <v>1</v>
      </c>
      <c r="BD69" s="3">
        <v>0</v>
      </c>
      <c r="BE69" s="3">
        <v>1</v>
      </c>
      <c r="BF69" s="3">
        <v>0</v>
      </c>
      <c r="BG69" s="3">
        <v>1</v>
      </c>
      <c r="BH69" s="3">
        <v>0</v>
      </c>
      <c r="BI69" s="3">
        <v>1</v>
      </c>
      <c r="BJ69" s="43">
        <f t="shared" ref="BJ69:BJ100" si="79">SUM(BB69:BI69)</f>
        <v>5</v>
      </c>
      <c r="BM69" s="22">
        <f t="shared" si="76"/>
        <v>45</v>
      </c>
      <c r="BN69" s="22">
        <f t="shared" si="8"/>
        <v>86.538461538461547</v>
      </c>
    </row>
    <row r="70" spans="1:66" ht="18" x14ac:dyDescent="0.35">
      <c r="A70" s="2">
        <v>65</v>
      </c>
      <c r="B70" s="17" t="s">
        <v>164</v>
      </c>
      <c r="C70" s="21" t="s">
        <v>165</v>
      </c>
      <c r="D70" s="3">
        <v>1</v>
      </c>
      <c r="E70" s="3">
        <v>1</v>
      </c>
      <c r="F70" s="3">
        <v>1</v>
      </c>
      <c r="G70" s="3">
        <v>0</v>
      </c>
      <c r="H70" s="3">
        <v>1</v>
      </c>
      <c r="I70" s="3">
        <v>1</v>
      </c>
      <c r="J70" s="3">
        <v>0</v>
      </c>
      <c r="K70" s="3">
        <v>1</v>
      </c>
      <c r="L70" s="3">
        <v>1</v>
      </c>
      <c r="M70" s="39">
        <f t="shared" ref="M70" si="80">SUM(D70:L70)</f>
        <v>7</v>
      </c>
      <c r="N70" s="3">
        <v>1</v>
      </c>
      <c r="O70" s="3">
        <v>0</v>
      </c>
      <c r="P70" s="3">
        <v>1</v>
      </c>
      <c r="Q70" s="3">
        <v>1</v>
      </c>
      <c r="R70" s="3">
        <v>0</v>
      </c>
      <c r="S70" s="3">
        <v>1</v>
      </c>
      <c r="T70" s="3">
        <v>1</v>
      </c>
      <c r="U70" s="39">
        <f t="shared" ref="U70" si="81">SUM(N70:T70)</f>
        <v>5</v>
      </c>
      <c r="V70" s="3">
        <v>1</v>
      </c>
      <c r="W70" s="3">
        <v>0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9">
        <f t="shared" ref="AC70" si="82">SUM(V70:AB70)</f>
        <v>6</v>
      </c>
      <c r="AD70" s="3">
        <v>1</v>
      </c>
      <c r="AE70" s="3">
        <v>1</v>
      </c>
      <c r="AF70" s="3">
        <v>1</v>
      </c>
      <c r="AG70" s="3">
        <v>1</v>
      </c>
      <c r="AH70" s="3">
        <v>1</v>
      </c>
      <c r="AI70" s="3">
        <v>1</v>
      </c>
      <c r="AJ70" s="3">
        <v>1</v>
      </c>
      <c r="AK70" s="3">
        <v>1</v>
      </c>
      <c r="AL70" s="40">
        <f t="shared" ref="AL70" si="83">SUM(AD70:AK70)</f>
        <v>8</v>
      </c>
      <c r="AM70" s="3">
        <v>1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 s="40">
        <f t="shared" si="77"/>
        <v>6</v>
      </c>
      <c r="AT70" s="3">
        <v>1</v>
      </c>
      <c r="AU70" s="3">
        <v>1</v>
      </c>
      <c r="AV70" s="3">
        <v>1</v>
      </c>
      <c r="AW70" s="3">
        <v>1</v>
      </c>
      <c r="AX70" s="3">
        <v>1</v>
      </c>
      <c r="AY70" s="3">
        <v>1</v>
      </c>
      <c r="AZ70" s="3">
        <v>1</v>
      </c>
      <c r="BA70" s="43">
        <f t="shared" si="78"/>
        <v>7</v>
      </c>
      <c r="BB70" s="3">
        <v>1</v>
      </c>
      <c r="BC70" s="3">
        <v>1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  <c r="BI70" s="3">
        <v>1</v>
      </c>
      <c r="BJ70" s="43">
        <f t="shared" si="79"/>
        <v>8</v>
      </c>
      <c r="BM70" s="22">
        <f t="shared" si="76"/>
        <v>47</v>
      </c>
      <c r="BN70" s="22">
        <f t="shared" si="8"/>
        <v>90.384615384615387</v>
      </c>
    </row>
  </sheetData>
  <mergeCells count="17">
    <mergeCell ref="AD2:AK2"/>
    <mergeCell ref="AL2:AL3"/>
    <mergeCell ref="A3:A4"/>
    <mergeCell ref="B3:B4"/>
    <mergeCell ref="A5:B5"/>
    <mergeCell ref="D2:L2"/>
    <mergeCell ref="M2:M3"/>
    <mergeCell ref="N2:T2"/>
    <mergeCell ref="U2:U3"/>
    <mergeCell ref="V2:AB2"/>
    <mergeCell ref="AC2:AC3"/>
    <mergeCell ref="BJ2:BJ3"/>
    <mergeCell ref="AM2:AR2"/>
    <mergeCell ref="AS2:AS3"/>
    <mergeCell ref="AT2:AZ2"/>
    <mergeCell ref="BA2:BA3"/>
    <mergeCell ref="BB2:BI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0"/>
  <sheetViews>
    <sheetView topLeftCell="AU1" zoomScale="85" zoomScaleNormal="85" workbookViewId="0">
      <selection activeCell="BR6" sqref="BR6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2" width="9.109375" style="15" hidden="1" customWidth="1"/>
    <col min="13" max="13" width="9.109375" style="15" customWidth="1"/>
    <col min="14" max="21" width="9.109375" style="15" hidden="1" customWidth="1"/>
    <col min="22" max="22" width="9.109375" style="15" customWidth="1"/>
    <col min="23" max="29" width="9.109375" style="15" hidden="1" customWidth="1"/>
    <col min="30" max="30" width="9.109375" style="15"/>
    <col min="31" max="37" width="9.109375" style="15" hidden="1" customWidth="1"/>
    <col min="38" max="38" width="9.109375" style="15"/>
    <col min="39" max="46" width="9.109375" style="15" customWidth="1"/>
    <col min="47" max="47" width="9.109375" style="15"/>
    <col min="48" max="54" width="9.109375" style="15" customWidth="1"/>
    <col min="55" max="55" width="9.109375" style="15"/>
    <col min="56" max="65" width="9.109375" style="15" customWidth="1"/>
    <col min="66" max="16384" width="9.109375" style="15"/>
  </cols>
  <sheetData>
    <row r="1" spans="1:70" ht="15.75" thickBot="1" x14ac:dyDescent="0.3"/>
    <row r="2" spans="1:70" ht="15.75" customHeight="1" thickBot="1" x14ac:dyDescent="0.3">
      <c r="D2" s="64" t="s">
        <v>35</v>
      </c>
      <c r="E2" s="64"/>
      <c r="F2" s="64"/>
      <c r="G2" s="64"/>
      <c r="H2" s="64"/>
      <c r="I2" s="64"/>
      <c r="J2" s="64"/>
      <c r="K2" s="64"/>
      <c r="L2" s="64"/>
      <c r="M2" s="60" t="s">
        <v>16</v>
      </c>
      <c r="N2" s="62" t="s">
        <v>7</v>
      </c>
      <c r="O2" s="63"/>
      <c r="P2" s="63"/>
      <c r="Q2" s="63"/>
      <c r="R2" s="63"/>
      <c r="S2" s="63"/>
      <c r="T2" s="63"/>
      <c r="U2" s="63"/>
      <c r="V2" s="60" t="s">
        <v>17</v>
      </c>
      <c r="W2" s="64" t="s">
        <v>7</v>
      </c>
      <c r="X2" s="64"/>
      <c r="Y2" s="64"/>
      <c r="Z2" s="64"/>
      <c r="AA2" s="64"/>
      <c r="AB2" s="64"/>
      <c r="AC2" s="64"/>
      <c r="AD2" s="60" t="s">
        <v>18</v>
      </c>
      <c r="AE2" s="53" t="s">
        <v>166</v>
      </c>
      <c r="AF2" s="53"/>
      <c r="AG2" s="53"/>
      <c r="AH2" s="53"/>
      <c r="AI2" s="53"/>
      <c r="AJ2" s="53"/>
      <c r="AK2" s="53"/>
      <c r="AL2" s="52" t="s">
        <v>19</v>
      </c>
      <c r="AM2" s="53" t="s">
        <v>14</v>
      </c>
      <c r="AN2" s="53"/>
      <c r="AO2" s="53"/>
      <c r="AP2" s="53"/>
      <c r="AQ2" s="53"/>
      <c r="AR2" s="53"/>
      <c r="AS2" s="53"/>
      <c r="AT2" s="53"/>
      <c r="AU2" s="54" t="s">
        <v>168</v>
      </c>
      <c r="AV2" s="53" t="s">
        <v>15</v>
      </c>
      <c r="AW2" s="53"/>
      <c r="AX2" s="53"/>
      <c r="AY2" s="53"/>
      <c r="AZ2" s="53"/>
      <c r="BA2" s="53"/>
      <c r="BB2" s="53"/>
      <c r="BC2" s="52" t="s">
        <v>169</v>
      </c>
      <c r="BD2" s="56" t="s">
        <v>15</v>
      </c>
      <c r="BE2" s="53"/>
      <c r="BF2" s="53"/>
      <c r="BG2" s="53"/>
      <c r="BH2" s="53"/>
      <c r="BI2" s="53"/>
      <c r="BJ2" s="53"/>
      <c r="BK2" s="53"/>
      <c r="BL2" s="53"/>
      <c r="BM2" s="53"/>
      <c r="BN2" s="52" t="s">
        <v>170</v>
      </c>
    </row>
    <row r="3" spans="1:70" x14ac:dyDescent="0.25">
      <c r="A3" s="58"/>
      <c r="B3" s="59"/>
      <c r="C3" s="29"/>
      <c r="D3" s="4" t="s">
        <v>8</v>
      </c>
      <c r="E3" s="4" t="s">
        <v>9</v>
      </c>
      <c r="F3" s="4" t="s">
        <v>10</v>
      </c>
      <c r="G3" s="4" t="s">
        <v>8</v>
      </c>
      <c r="H3" s="4" t="s">
        <v>9</v>
      </c>
      <c r="I3" s="4" t="s">
        <v>11</v>
      </c>
      <c r="J3" s="4" t="s">
        <v>8</v>
      </c>
      <c r="K3" s="4" t="s">
        <v>9</v>
      </c>
      <c r="L3" s="4" t="s">
        <v>10</v>
      </c>
      <c r="M3" s="61"/>
      <c r="N3" s="4" t="s">
        <v>11</v>
      </c>
      <c r="O3" s="4" t="s">
        <v>8</v>
      </c>
      <c r="P3" s="4" t="s">
        <v>9</v>
      </c>
      <c r="Q3" s="4" t="s">
        <v>10</v>
      </c>
      <c r="R3" s="4" t="s">
        <v>11</v>
      </c>
      <c r="S3" s="4" t="s">
        <v>8</v>
      </c>
      <c r="T3" s="4" t="s">
        <v>9</v>
      </c>
      <c r="U3" s="4" t="s">
        <v>10</v>
      </c>
      <c r="V3" s="61"/>
      <c r="W3" s="4" t="s">
        <v>8</v>
      </c>
      <c r="X3" s="4" t="s">
        <v>9</v>
      </c>
      <c r="Y3" s="4" t="s">
        <v>10</v>
      </c>
      <c r="Z3" s="4" t="s">
        <v>11</v>
      </c>
      <c r="AA3" s="4" t="s">
        <v>8</v>
      </c>
      <c r="AB3" s="4" t="s">
        <v>10</v>
      </c>
      <c r="AC3" s="4" t="s">
        <v>11</v>
      </c>
      <c r="AD3" s="61"/>
      <c r="AE3" s="30" t="s">
        <v>1</v>
      </c>
      <c r="AF3" s="30" t="s">
        <v>2</v>
      </c>
      <c r="AG3" s="30" t="s">
        <v>3</v>
      </c>
      <c r="AH3" s="30" t="s">
        <v>1</v>
      </c>
      <c r="AI3" s="30" t="s">
        <v>2</v>
      </c>
      <c r="AJ3" s="30" t="s">
        <v>3</v>
      </c>
      <c r="AK3" s="30" t="s">
        <v>4</v>
      </c>
      <c r="AL3" s="52"/>
      <c r="AM3" s="34" t="s">
        <v>1</v>
      </c>
      <c r="AN3" s="34" t="s">
        <v>2</v>
      </c>
      <c r="AO3" s="34" t="s">
        <v>3</v>
      </c>
      <c r="AP3" s="34" t="s">
        <v>4</v>
      </c>
      <c r="AQ3" s="34" t="s">
        <v>1</v>
      </c>
      <c r="AR3" s="34" t="s">
        <v>2</v>
      </c>
      <c r="AS3" s="34" t="s">
        <v>3</v>
      </c>
      <c r="AT3" s="34" t="s">
        <v>4</v>
      </c>
      <c r="AU3" s="55"/>
      <c r="AV3" s="34" t="s">
        <v>1</v>
      </c>
      <c r="AW3" s="34" t="s">
        <v>2</v>
      </c>
      <c r="AX3" s="34" t="s">
        <v>3</v>
      </c>
      <c r="AY3" s="34" t="s">
        <v>4</v>
      </c>
      <c r="AZ3" s="34" t="s">
        <v>6</v>
      </c>
      <c r="BA3" s="34" t="s">
        <v>1</v>
      </c>
      <c r="BB3" s="34" t="s">
        <v>2</v>
      </c>
      <c r="BC3" s="52"/>
      <c r="BD3" s="34" t="s">
        <v>3</v>
      </c>
      <c r="BE3" s="34" t="s">
        <v>4</v>
      </c>
      <c r="BF3" s="34" t="s">
        <v>1</v>
      </c>
      <c r="BG3" s="34" t="s">
        <v>2</v>
      </c>
      <c r="BH3" s="34" t="s">
        <v>3</v>
      </c>
      <c r="BI3" s="34" t="s">
        <v>4</v>
      </c>
      <c r="BJ3" s="34" t="s">
        <v>5</v>
      </c>
      <c r="BK3" s="34" t="s">
        <v>1</v>
      </c>
      <c r="BL3" s="34" t="s">
        <v>2</v>
      </c>
      <c r="BM3" s="34" t="s">
        <v>4</v>
      </c>
      <c r="BN3" s="52"/>
    </row>
    <row r="4" spans="1:70" x14ac:dyDescent="0.25">
      <c r="A4" s="58"/>
      <c r="B4" s="59"/>
      <c r="C4" s="35" t="s">
        <v>167</v>
      </c>
      <c r="D4" s="6">
        <v>15</v>
      </c>
      <c r="E4" s="6">
        <v>16</v>
      </c>
      <c r="F4" s="6">
        <v>17</v>
      </c>
      <c r="G4" s="6">
        <v>22</v>
      </c>
      <c r="H4" s="6">
        <v>23</v>
      </c>
      <c r="I4" s="6">
        <v>25</v>
      </c>
      <c r="J4" s="6">
        <v>29</v>
      </c>
      <c r="K4" s="6">
        <v>30</v>
      </c>
      <c r="L4" s="6">
        <v>31</v>
      </c>
      <c r="M4" s="6"/>
      <c r="N4" s="30">
        <v>1</v>
      </c>
      <c r="O4" s="30">
        <v>5</v>
      </c>
      <c r="P4" s="30">
        <v>6</v>
      </c>
      <c r="Q4" s="30">
        <v>7</v>
      </c>
      <c r="R4" s="30">
        <v>8</v>
      </c>
      <c r="S4" s="30">
        <v>12</v>
      </c>
      <c r="T4" s="30">
        <v>13</v>
      </c>
      <c r="U4" s="30">
        <v>14</v>
      </c>
      <c r="V4" s="30"/>
      <c r="W4" s="30">
        <v>19</v>
      </c>
      <c r="X4" s="30">
        <v>20</v>
      </c>
      <c r="Y4" s="30">
        <v>21</v>
      </c>
      <c r="Z4" s="30">
        <v>22</v>
      </c>
      <c r="AA4" s="30">
        <v>26</v>
      </c>
      <c r="AB4" s="30">
        <v>28</v>
      </c>
      <c r="AC4" s="30">
        <v>29</v>
      </c>
      <c r="AD4" s="27"/>
      <c r="AE4" s="30">
        <v>2</v>
      </c>
      <c r="AF4" s="30">
        <v>3</v>
      </c>
      <c r="AG4" s="30">
        <v>4</v>
      </c>
      <c r="AH4" s="30">
        <v>9</v>
      </c>
      <c r="AI4" s="30">
        <v>10</v>
      </c>
      <c r="AJ4" s="30">
        <v>11</v>
      </c>
      <c r="AK4" s="30">
        <v>12</v>
      </c>
      <c r="AL4" s="7"/>
      <c r="AM4" s="34">
        <v>16</v>
      </c>
      <c r="AN4" s="34">
        <v>17</v>
      </c>
      <c r="AO4" s="34">
        <v>18</v>
      </c>
      <c r="AP4" s="34">
        <v>19</v>
      </c>
      <c r="AQ4" s="34">
        <v>23</v>
      </c>
      <c r="AR4" s="34">
        <v>24</v>
      </c>
      <c r="AS4" s="34">
        <v>25</v>
      </c>
      <c r="AT4" s="34">
        <v>26</v>
      </c>
      <c r="AU4" s="7"/>
      <c r="AV4" s="34">
        <v>7</v>
      </c>
      <c r="AW4" s="34">
        <v>8</v>
      </c>
      <c r="AX4" s="34">
        <v>9</v>
      </c>
      <c r="AY4" s="34">
        <v>10</v>
      </c>
      <c r="AZ4" s="34">
        <v>13</v>
      </c>
      <c r="BA4" s="34">
        <v>14</v>
      </c>
      <c r="BB4" s="34">
        <v>15</v>
      </c>
      <c r="BC4" s="7"/>
      <c r="BD4" s="34">
        <v>16</v>
      </c>
      <c r="BE4" s="34">
        <v>17</v>
      </c>
      <c r="BF4" s="34">
        <v>21</v>
      </c>
      <c r="BG4" s="34">
        <v>22</v>
      </c>
      <c r="BH4" s="34">
        <v>23</v>
      </c>
      <c r="BI4" s="34">
        <v>24</v>
      </c>
      <c r="BJ4" s="34">
        <v>25</v>
      </c>
      <c r="BK4" s="34">
        <v>28</v>
      </c>
      <c r="BL4" s="34">
        <v>29</v>
      </c>
      <c r="BM4" s="34">
        <v>31</v>
      </c>
      <c r="BN4" s="7"/>
    </row>
    <row r="5" spans="1:70" s="26" customFormat="1" ht="21" customHeight="1" x14ac:dyDescent="0.25">
      <c r="A5" s="57" t="s">
        <v>0</v>
      </c>
      <c r="B5" s="57"/>
      <c r="C5" s="28"/>
      <c r="D5" s="24">
        <v>1</v>
      </c>
      <c r="E5" s="24">
        <v>1</v>
      </c>
      <c r="F5" s="24">
        <v>1</v>
      </c>
      <c r="G5" s="25">
        <v>1</v>
      </c>
      <c r="H5" s="25">
        <v>1</v>
      </c>
      <c r="I5" s="25">
        <v>1</v>
      </c>
      <c r="J5" s="25">
        <v>1</v>
      </c>
      <c r="K5" s="25">
        <v>1</v>
      </c>
      <c r="L5" s="25">
        <v>1</v>
      </c>
      <c r="M5" s="36">
        <f t="shared" ref="M5:M23" si="0">SUM(D5:L5)</f>
        <v>9</v>
      </c>
      <c r="N5" s="25">
        <v>1</v>
      </c>
      <c r="O5" s="25">
        <v>1</v>
      </c>
      <c r="P5" s="25">
        <v>1</v>
      </c>
      <c r="Q5" s="25">
        <v>1</v>
      </c>
      <c r="R5" s="25">
        <v>1</v>
      </c>
      <c r="S5" s="25">
        <v>1</v>
      </c>
      <c r="T5" s="25">
        <v>1</v>
      </c>
      <c r="U5" s="25">
        <v>1</v>
      </c>
      <c r="V5" s="36">
        <f t="shared" ref="V5:V11" si="1">SUM(N5:U5)</f>
        <v>8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B5" s="25">
        <v>1</v>
      </c>
      <c r="AC5" s="25">
        <v>1</v>
      </c>
      <c r="AD5" s="36">
        <f t="shared" ref="AD5:AD11" si="2">SUM(W5:AC5)</f>
        <v>7</v>
      </c>
      <c r="AE5" s="24">
        <v>1</v>
      </c>
      <c r="AF5" s="25">
        <v>1</v>
      </c>
      <c r="AG5" s="24">
        <v>1</v>
      </c>
      <c r="AH5" s="25">
        <v>1</v>
      </c>
      <c r="AI5" s="24">
        <v>1</v>
      </c>
      <c r="AJ5" s="25">
        <v>1</v>
      </c>
      <c r="AK5" s="24">
        <v>1</v>
      </c>
      <c r="AL5" s="38">
        <f t="shared" ref="AL5:AL11" si="3">SUM(AE5:AK5)</f>
        <v>7</v>
      </c>
      <c r="AM5" s="24">
        <v>1</v>
      </c>
      <c r="AN5" s="25">
        <v>1</v>
      </c>
      <c r="AO5" s="24">
        <v>1</v>
      </c>
      <c r="AP5" s="24">
        <v>1</v>
      </c>
      <c r="AQ5" s="25">
        <v>1</v>
      </c>
      <c r="AR5" s="24">
        <v>1</v>
      </c>
      <c r="AS5" s="25">
        <v>1</v>
      </c>
      <c r="AT5" s="24">
        <v>1</v>
      </c>
      <c r="AU5" s="44">
        <f t="shared" ref="AU5:AU36" si="4">SUM(AM5:AT5)</f>
        <v>8</v>
      </c>
      <c r="AV5" s="24">
        <v>1</v>
      </c>
      <c r="AW5" s="25">
        <v>1</v>
      </c>
      <c r="AX5" s="24">
        <v>1</v>
      </c>
      <c r="AY5" s="25">
        <v>1</v>
      </c>
      <c r="AZ5" s="25">
        <v>1</v>
      </c>
      <c r="BA5" s="25">
        <v>1</v>
      </c>
      <c r="BB5" s="24">
        <v>1</v>
      </c>
      <c r="BC5" s="38">
        <f t="shared" ref="BC5:BC36" si="5">SUM(AV5:BB5)</f>
        <v>7</v>
      </c>
      <c r="BD5" s="25">
        <v>1</v>
      </c>
      <c r="BE5" s="25">
        <v>1</v>
      </c>
      <c r="BF5" s="24">
        <v>1</v>
      </c>
      <c r="BG5" s="24">
        <v>1</v>
      </c>
      <c r="BH5" s="25">
        <v>1</v>
      </c>
      <c r="BI5" s="24">
        <v>1</v>
      </c>
      <c r="BJ5" s="24">
        <v>1</v>
      </c>
      <c r="BK5" s="24">
        <v>1</v>
      </c>
      <c r="BL5" s="24">
        <v>1</v>
      </c>
      <c r="BM5" s="24">
        <v>1</v>
      </c>
      <c r="BN5" s="38">
        <f t="shared" ref="BN5:BN36" si="6">SUM(BD5:BM5)</f>
        <v>10</v>
      </c>
      <c r="BQ5" s="28">
        <f>M5+V5+AD5+AL5+AU5+BC5+BN5</f>
        <v>56</v>
      </c>
      <c r="BR5" s="28"/>
    </row>
    <row r="6" spans="1:70" ht="18.75" x14ac:dyDescent="0.3">
      <c r="A6" s="2">
        <v>1</v>
      </c>
      <c r="B6" s="16" t="s">
        <v>36</v>
      </c>
      <c r="C6" s="20" t="s">
        <v>37</v>
      </c>
      <c r="D6" s="3">
        <v>0</v>
      </c>
      <c r="E6" s="3">
        <v>1</v>
      </c>
      <c r="F6" s="3">
        <v>1</v>
      </c>
      <c r="G6" s="3">
        <v>1</v>
      </c>
      <c r="H6" s="3">
        <v>0</v>
      </c>
      <c r="I6" s="3">
        <v>1</v>
      </c>
      <c r="J6" s="3">
        <v>1</v>
      </c>
      <c r="K6" s="3">
        <v>1</v>
      </c>
      <c r="L6" s="3">
        <v>1</v>
      </c>
      <c r="M6" s="39">
        <f t="shared" si="0"/>
        <v>7</v>
      </c>
      <c r="N6" s="3">
        <v>0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0</v>
      </c>
      <c r="V6" s="39">
        <f t="shared" si="1"/>
        <v>6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9">
        <f t="shared" si="2"/>
        <v>7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43">
        <f t="shared" si="3"/>
        <v>7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40">
        <f t="shared" si="4"/>
        <v>8</v>
      </c>
      <c r="AV6" s="3">
        <v>0</v>
      </c>
      <c r="AW6" s="3">
        <v>1</v>
      </c>
      <c r="AX6" s="3">
        <v>0</v>
      </c>
      <c r="AY6" s="3">
        <v>0</v>
      </c>
      <c r="AZ6" s="3">
        <v>1</v>
      </c>
      <c r="BA6" s="3">
        <v>0</v>
      </c>
      <c r="BB6" s="3">
        <v>1</v>
      </c>
      <c r="BC6" s="43">
        <f t="shared" si="5"/>
        <v>3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43">
        <f t="shared" si="6"/>
        <v>10</v>
      </c>
      <c r="BQ6" s="22">
        <f>M6+V6+AD6+AL6+AU6+BC6+BN6</f>
        <v>48</v>
      </c>
      <c r="BR6" s="22">
        <f>BQ6/56*100</f>
        <v>85.714285714285708</v>
      </c>
    </row>
    <row r="7" spans="1:70" ht="18.75" x14ac:dyDescent="0.3">
      <c r="A7" s="2">
        <v>2</v>
      </c>
      <c r="B7" s="16" t="s">
        <v>38</v>
      </c>
      <c r="C7" s="20" t="s">
        <v>39</v>
      </c>
      <c r="D7" s="3">
        <v>1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9">
        <f t="shared" si="0"/>
        <v>8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1</v>
      </c>
      <c r="T7" s="3">
        <v>1</v>
      </c>
      <c r="U7" s="3">
        <v>1</v>
      </c>
      <c r="V7" s="39">
        <f t="shared" si="1"/>
        <v>7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9">
        <f t="shared" si="2"/>
        <v>7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0</v>
      </c>
      <c r="AL7" s="43">
        <f t="shared" si="3"/>
        <v>6</v>
      </c>
      <c r="AM7" s="3">
        <v>0</v>
      </c>
      <c r="AN7" s="3">
        <v>0</v>
      </c>
      <c r="AO7" s="3">
        <v>1</v>
      </c>
      <c r="AP7" s="3">
        <v>0</v>
      </c>
      <c r="AQ7" s="3">
        <v>1</v>
      </c>
      <c r="AR7" s="3">
        <v>0</v>
      </c>
      <c r="AS7" s="3">
        <v>1</v>
      </c>
      <c r="AT7" s="3">
        <v>1</v>
      </c>
      <c r="AU7" s="40">
        <f t="shared" si="4"/>
        <v>4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43">
        <f t="shared" si="5"/>
        <v>7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43">
        <f t="shared" si="6"/>
        <v>10</v>
      </c>
      <c r="BQ7" s="22">
        <f t="shared" ref="BQ7:BQ70" si="7">M7+V7+AD7+AL7+AU7+BC7+BN7</f>
        <v>49</v>
      </c>
      <c r="BR7" s="22">
        <f t="shared" ref="BR7:BR70" si="8">BQ7/56*100</f>
        <v>87.5</v>
      </c>
    </row>
    <row r="8" spans="1:70" ht="18.75" x14ac:dyDescent="0.3">
      <c r="A8" s="2">
        <v>3</v>
      </c>
      <c r="B8" s="16" t="s">
        <v>40</v>
      </c>
      <c r="C8" s="20" t="s">
        <v>41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9">
        <f t="shared" si="0"/>
        <v>9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9">
        <f t="shared" si="1"/>
        <v>8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9">
        <f t="shared" si="2"/>
        <v>7</v>
      </c>
      <c r="AE8" s="3">
        <v>0</v>
      </c>
      <c r="AF8" s="3">
        <v>1</v>
      </c>
      <c r="AG8" s="3">
        <v>0</v>
      </c>
      <c r="AH8" s="3">
        <v>1</v>
      </c>
      <c r="AI8" s="3">
        <v>1</v>
      </c>
      <c r="AJ8" s="3">
        <v>1</v>
      </c>
      <c r="AK8" s="3">
        <v>1</v>
      </c>
      <c r="AL8" s="43">
        <f t="shared" si="3"/>
        <v>5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40">
        <f t="shared" si="4"/>
        <v>8</v>
      </c>
      <c r="AV8" s="3">
        <v>1</v>
      </c>
      <c r="AW8" s="3">
        <v>0</v>
      </c>
      <c r="AX8" s="3">
        <v>1</v>
      </c>
      <c r="AY8" s="3">
        <v>0</v>
      </c>
      <c r="AZ8" s="3">
        <v>0</v>
      </c>
      <c r="BA8" s="3">
        <v>1</v>
      </c>
      <c r="BB8" s="3">
        <v>0</v>
      </c>
      <c r="BC8" s="43">
        <f t="shared" si="5"/>
        <v>3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43">
        <f t="shared" si="6"/>
        <v>10</v>
      </c>
      <c r="BQ8" s="22">
        <f t="shared" si="7"/>
        <v>50</v>
      </c>
      <c r="BR8" s="22">
        <f t="shared" si="8"/>
        <v>89.285714285714292</v>
      </c>
    </row>
    <row r="9" spans="1:70" ht="18.75" x14ac:dyDescent="0.3">
      <c r="A9" s="2">
        <v>4</v>
      </c>
      <c r="B9" s="16" t="s">
        <v>42</v>
      </c>
      <c r="C9" s="20" t="s">
        <v>43</v>
      </c>
      <c r="D9" s="3">
        <v>0</v>
      </c>
      <c r="E9" s="3">
        <v>1</v>
      </c>
      <c r="F9" s="3">
        <v>1</v>
      </c>
      <c r="G9" s="3">
        <v>1</v>
      </c>
      <c r="H9" s="3">
        <v>0</v>
      </c>
      <c r="I9" s="3">
        <v>1</v>
      </c>
      <c r="J9" s="3">
        <v>1</v>
      </c>
      <c r="K9" s="3">
        <v>1</v>
      </c>
      <c r="L9" s="3">
        <v>1</v>
      </c>
      <c r="M9" s="39">
        <f t="shared" si="0"/>
        <v>7</v>
      </c>
      <c r="N9" s="3">
        <v>0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0</v>
      </c>
      <c r="V9" s="39">
        <f t="shared" ref="V9:V10" si="9">SUM(N9:U9)</f>
        <v>6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9">
        <f t="shared" ref="AD9:AD10" si="10">SUM(W9:AC9)</f>
        <v>7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43">
        <f t="shared" ref="AL9:AL10" si="11">SUM(AE9:AK9)</f>
        <v>7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40">
        <f t="shared" si="4"/>
        <v>8</v>
      </c>
      <c r="AV9" s="3">
        <v>0</v>
      </c>
      <c r="AW9" s="3">
        <v>1</v>
      </c>
      <c r="AX9" s="3">
        <v>0</v>
      </c>
      <c r="AY9" s="3">
        <v>0</v>
      </c>
      <c r="AZ9" s="3">
        <v>1</v>
      </c>
      <c r="BA9" s="3">
        <v>0</v>
      </c>
      <c r="BB9" s="3">
        <v>1</v>
      </c>
      <c r="BC9" s="43">
        <f t="shared" si="5"/>
        <v>3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43">
        <f t="shared" si="6"/>
        <v>10</v>
      </c>
      <c r="BQ9" s="22">
        <f t="shared" si="7"/>
        <v>48</v>
      </c>
      <c r="BR9" s="22">
        <f t="shared" si="8"/>
        <v>85.714285714285708</v>
      </c>
    </row>
    <row r="10" spans="1:70" ht="18.75" x14ac:dyDescent="0.3">
      <c r="A10" s="2">
        <v>5</v>
      </c>
      <c r="B10" s="16" t="s">
        <v>44</v>
      </c>
      <c r="C10" s="20" t="s">
        <v>45</v>
      </c>
      <c r="D10" s="3">
        <v>1</v>
      </c>
      <c r="E10" s="3">
        <v>1</v>
      </c>
      <c r="F10" s="3">
        <v>0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9">
        <f t="shared" si="0"/>
        <v>8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1</v>
      </c>
      <c r="T10" s="3">
        <v>1</v>
      </c>
      <c r="U10" s="3">
        <v>1</v>
      </c>
      <c r="V10" s="39">
        <f t="shared" si="9"/>
        <v>7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9">
        <f t="shared" si="10"/>
        <v>7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0</v>
      </c>
      <c r="AL10" s="43">
        <f t="shared" si="11"/>
        <v>6</v>
      </c>
      <c r="AM10" s="3">
        <v>1</v>
      </c>
      <c r="AN10" s="3">
        <v>0</v>
      </c>
      <c r="AO10" s="3">
        <v>0</v>
      </c>
      <c r="AP10" s="3">
        <v>1</v>
      </c>
      <c r="AQ10" s="3">
        <v>0</v>
      </c>
      <c r="AR10" s="3">
        <v>1</v>
      </c>
      <c r="AS10" s="3">
        <v>0</v>
      </c>
      <c r="AT10" s="3">
        <v>1</v>
      </c>
      <c r="AU10" s="40">
        <f t="shared" si="4"/>
        <v>4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43">
        <f t="shared" si="5"/>
        <v>7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1</v>
      </c>
      <c r="BN10" s="43">
        <f t="shared" si="6"/>
        <v>10</v>
      </c>
      <c r="BQ10" s="22">
        <f t="shared" si="7"/>
        <v>49</v>
      </c>
      <c r="BR10" s="22">
        <f t="shared" si="8"/>
        <v>87.5</v>
      </c>
    </row>
    <row r="11" spans="1:70" ht="18.75" x14ac:dyDescent="0.3">
      <c r="A11" s="2">
        <v>6</v>
      </c>
      <c r="B11" s="16" t="s">
        <v>46</v>
      </c>
      <c r="C11" s="20" t="s">
        <v>47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9">
        <f t="shared" si="0"/>
        <v>9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9">
        <f t="shared" si="1"/>
        <v>8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9">
        <f t="shared" si="2"/>
        <v>7</v>
      </c>
      <c r="AE11" s="3">
        <v>1</v>
      </c>
      <c r="AF11" s="3">
        <v>1</v>
      </c>
      <c r="AG11" s="3">
        <v>1</v>
      </c>
      <c r="AH11" s="3">
        <v>1</v>
      </c>
      <c r="AI11" s="3">
        <v>0</v>
      </c>
      <c r="AJ11" s="3">
        <v>1</v>
      </c>
      <c r="AK11" s="3">
        <v>1</v>
      </c>
      <c r="AL11" s="43">
        <f t="shared" si="3"/>
        <v>6</v>
      </c>
      <c r="AM11" s="3">
        <v>1</v>
      </c>
      <c r="AN11" s="3">
        <v>0</v>
      </c>
      <c r="AO11" s="3">
        <v>0</v>
      </c>
      <c r="AP11" s="3">
        <v>1</v>
      </c>
      <c r="AQ11" s="3">
        <v>0</v>
      </c>
      <c r="AR11" s="3">
        <v>1</v>
      </c>
      <c r="AS11" s="3">
        <v>0</v>
      </c>
      <c r="AT11" s="3">
        <v>1</v>
      </c>
      <c r="AU11" s="40">
        <f t="shared" si="4"/>
        <v>4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43">
        <f t="shared" si="5"/>
        <v>7</v>
      </c>
      <c r="BD11" s="3">
        <v>0</v>
      </c>
      <c r="BE11" s="3">
        <v>0</v>
      </c>
      <c r="BF11" s="3">
        <v>1</v>
      </c>
      <c r="BG11" s="3">
        <v>0</v>
      </c>
      <c r="BH11" s="3">
        <v>0</v>
      </c>
      <c r="BI11" s="3">
        <v>1</v>
      </c>
      <c r="BJ11" s="3">
        <v>0</v>
      </c>
      <c r="BK11" s="3">
        <v>1</v>
      </c>
      <c r="BL11" s="3">
        <v>1</v>
      </c>
      <c r="BM11" s="3">
        <v>1</v>
      </c>
      <c r="BN11" s="43">
        <f t="shared" si="6"/>
        <v>5</v>
      </c>
      <c r="BQ11" s="22">
        <f t="shared" si="7"/>
        <v>46</v>
      </c>
      <c r="BR11" s="22">
        <f t="shared" si="8"/>
        <v>82.142857142857139</v>
      </c>
    </row>
    <row r="12" spans="1:70" ht="18.75" x14ac:dyDescent="0.3">
      <c r="A12" s="2">
        <v>7</v>
      </c>
      <c r="B12" s="16" t="s">
        <v>48</v>
      </c>
      <c r="C12" s="20" t="s">
        <v>49</v>
      </c>
      <c r="D12" s="3">
        <v>0</v>
      </c>
      <c r="E12" s="3">
        <v>1</v>
      </c>
      <c r="F12" s="3">
        <v>1</v>
      </c>
      <c r="G12" s="3">
        <v>1</v>
      </c>
      <c r="H12" s="3">
        <v>0</v>
      </c>
      <c r="I12" s="3">
        <v>1</v>
      </c>
      <c r="J12" s="3">
        <v>1</v>
      </c>
      <c r="K12" s="3">
        <v>1</v>
      </c>
      <c r="L12" s="3">
        <v>1</v>
      </c>
      <c r="M12" s="39">
        <f t="shared" si="0"/>
        <v>7</v>
      </c>
      <c r="N12" s="3">
        <v>0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0</v>
      </c>
      <c r="V12" s="39">
        <f t="shared" ref="V12:V13" si="12">SUM(N12:U12)</f>
        <v>6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9">
        <f t="shared" ref="AD12:AD13" si="13">SUM(W12:AC12)</f>
        <v>7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43">
        <f t="shared" ref="AL12:AL13" si="14">SUM(AE12:AK12)</f>
        <v>7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40">
        <f t="shared" si="4"/>
        <v>8</v>
      </c>
      <c r="AV12" s="3">
        <v>1</v>
      </c>
      <c r="AW12" s="3">
        <v>0</v>
      </c>
      <c r="AX12" s="3">
        <v>1</v>
      </c>
      <c r="AY12" s="3">
        <v>0</v>
      </c>
      <c r="AZ12" s="3">
        <v>0</v>
      </c>
      <c r="BA12" s="3">
        <v>1</v>
      </c>
      <c r="BB12" s="3">
        <v>0</v>
      </c>
      <c r="BC12" s="43">
        <f t="shared" si="5"/>
        <v>3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43">
        <f t="shared" si="6"/>
        <v>10</v>
      </c>
      <c r="BQ12" s="22">
        <f t="shared" si="7"/>
        <v>48</v>
      </c>
      <c r="BR12" s="22">
        <f t="shared" si="8"/>
        <v>85.714285714285708</v>
      </c>
    </row>
    <row r="13" spans="1:70" ht="18.75" x14ac:dyDescent="0.3">
      <c r="A13" s="2">
        <v>8</v>
      </c>
      <c r="B13" s="16" t="s">
        <v>50</v>
      </c>
      <c r="C13" s="20" t="s">
        <v>51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9">
        <f t="shared" si="0"/>
        <v>9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9">
        <f t="shared" si="12"/>
        <v>8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9">
        <f t="shared" si="13"/>
        <v>7</v>
      </c>
      <c r="AE13" s="3">
        <v>0</v>
      </c>
      <c r="AF13" s="3">
        <v>1</v>
      </c>
      <c r="AG13" s="3">
        <v>0</v>
      </c>
      <c r="AH13" s="3">
        <v>1</v>
      </c>
      <c r="AI13" s="3">
        <v>1</v>
      </c>
      <c r="AJ13" s="3">
        <v>1</v>
      </c>
      <c r="AK13" s="3">
        <v>1</v>
      </c>
      <c r="AL13" s="43">
        <f t="shared" si="14"/>
        <v>5</v>
      </c>
      <c r="AM13" s="3">
        <v>0</v>
      </c>
      <c r="AN13" s="3">
        <v>0</v>
      </c>
      <c r="AO13" s="3">
        <v>1</v>
      </c>
      <c r="AP13" s="3">
        <v>0</v>
      </c>
      <c r="AQ13" s="3">
        <v>1</v>
      </c>
      <c r="AR13" s="3">
        <v>0</v>
      </c>
      <c r="AS13" s="3">
        <v>1</v>
      </c>
      <c r="AT13" s="3">
        <v>1</v>
      </c>
      <c r="AU13" s="40">
        <f t="shared" si="4"/>
        <v>4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43">
        <f t="shared" si="5"/>
        <v>7</v>
      </c>
      <c r="BD13" s="3">
        <v>1</v>
      </c>
      <c r="BE13" s="3">
        <v>1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43">
        <f t="shared" si="6"/>
        <v>10</v>
      </c>
      <c r="BQ13" s="22">
        <f t="shared" si="7"/>
        <v>50</v>
      </c>
      <c r="BR13" s="22">
        <f t="shared" si="8"/>
        <v>89.285714285714292</v>
      </c>
    </row>
    <row r="14" spans="1:70" ht="18.75" x14ac:dyDescent="0.3">
      <c r="A14" s="2">
        <v>9</v>
      </c>
      <c r="B14" s="16" t="s">
        <v>52</v>
      </c>
      <c r="C14" s="20" t="s">
        <v>53</v>
      </c>
      <c r="D14" s="3">
        <v>1</v>
      </c>
      <c r="E14" s="3">
        <v>1</v>
      </c>
      <c r="F14" s="3">
        <v>0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9">
        <f t="shared" si="0"/>
        <v>8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1</v>
      </c>
      <c r="T14" s="3">
        <v>1</v>
      </c>
      <c r="U14" s="3">
        <v>1</v>
      </c>
      <c r="V14" s="39">
        <f t="shared" ref="V14" si="15">SUM(N14:U14)</f>
        <v>7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9">
        <f t="shared" ref="AD14" si="16">SUM(W14:AC14)</f>
        <v>7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0</v>
      </c>
      <c r="AL14" s="43">
        <f t="shared" ref="AL14" si="17">SUM(AE14:AK14)</f>
        <v>6</v>
      </c>
      <c r="AM14" s="3">
        <v>1</v>
      </c>
      <c r="AN14" s="3">
        <v>0</v>
      </c>
      <c r="AO14" s="3">
        <v>0</v>
      </c>
      <c r="AP14" s="3">
        <v>1</v>
      </c>
      <c r="AQ14" s="3">
        <v>0</v>
      </c>
      <c r="AR14" s="3">
        <v>1</v>
      </c>
      <c r="AS14" s="3">
        <v>0</v>
      </c>
      <c r="AT14" s="3">
        <v>1</v>
      </c>
      <c r="AU14" s="40">
        <f t="shared" si="4"/>
        <v>4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43">
        <f t="shared" si="5"/>
        <v>7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43">
        <f t="shared" si="6"/>
        <v>10</v>
      </c>
      <c r="BQ14" s="22">
        <f t="shared" si="7"/>
        <v>49</v>
      </c>
      <c r="BR14" s="22">
        <f t="shared" si="8"/>
        <v>87.5</v>
      </c>
    </row>
    <row r="15" spans="1:70" ht="18.75" x14ac:dyDescent="0.3">
      <c r="A15" s="2">
        <v>10</v>
      </c>
      <c r="B15" s="16" t="s">
        <v>54</v>
      </c>
      <c r="C15" s="20" t="s">
        <v>55</v>
      </c>
      <c r="D15" s="3">
        <v>0</v>
      </c>
      <c r="E15" s="3">
        <v>1</v>
      </c>
      <c r="F15" s="3">
        <v>1</v>
      </c>
      <c r="G15" s="3">
        <v>1</v>
      </c>
      <c r="H15" s="3">
        <v>0</v>
      </c>
      <c r="I15" s="3">
        <v>1</v>
      </c>
      <c r="J15" s="3">
        <v>1</v>
      </c>
      <c r="K15" s="3">
        <v>1</v>
      </c>
      <c r="L15" s="3">
        <v>1</v>
      </c>
      <c r="M15" s="39">
        <f t="shared" si="0"/>
        <v>7</v>
      </c>
      <c r="N15" s="3">
        <v>0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0</v>
      </c>
      <c r="V15" s="39">
        <f t="shared" ref="V15:V16" si="18">SUM(N15:U15)</f>
        <v>6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9">
        <f t="shared" ref="AD15:AD16" si="19">SUM(W15:AC15)</f>
        <v>7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43">
        <f t="shared" ref="AL15:AL16" si="20">SUM(AE15:AK15)</f>
        <v>7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40">
        <f t="shared" si="4"/>
        <v>8</v>
      </c>
      <c r="AV15" s="3">
        <v>0</v>
      </c>
      <c r="AW15" s="3">
        <v>1</v>
      </c>
      <c r="AX15" s="3">
        <v>0</v>
      </c>
      <c r="AY15" s="3">
        <v>0</v>
      </c>
      <c r="AZ15" s="3">
        <v>1</v>
      </c>
      <c r="BA15" s="3">
        <v>0</v>
      </c>
      <c r="BB15" s="3">
        <v>1</v>
      </c>
      <c r="BC15" s="43">
        <f t="shared" si="5"/>
        <v>3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1</v>
      </c>
      <c r="BN15" s="43">
        <f t="shared" si="6"/>
        <v>10</v>
      </c>
      <c r="BQ15" s="22">
        <f t="shared" si="7"/>
        <v>48</v>
      </c>
      <c r="BR15" s="22">
        <f t="shared" si="8"/>
        <v>85.714285714285708</v>
      </c>
    </row>
    <row r="16" spans="1:70" ht="18.75" x14ac:dyDescent="0.3">
      <c r="A16" s="2">
        <v>11</v>
      </c>
      <c r="B16" s="16" t="s">
        <v>56</v>
      </c>
      <c r="C16" s="20" t="s">
        <v>57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9">
        <f t="shared" si="0"/>
        <v>9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9">
        <f t="shared" si="18"/>
        <v>8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9">
        <f t="shared" si="19"/>
        <v>7</v>
      </c>
      <c r="AE16" s="3">
        <v>1</v>
      </c>
      <c r="AF16" s="3">
        <v>1</v>
      </c>
      <c r="AG16" s="3">
        <v>1</v>
      </c>
      <c r="AH16" s="3">
        <v>1</v>
      </c>
      <c r="AI16" s="3">
        <v>0</v>
      </c>
      <c r="AJ16" s="3">
        <v>1</v>
      </c>
      <c r="AK16" s="3">
        <v>1</v>
      </c>
      <c r="AL16" s="43">
        <f t="shared" si="20"/>
        <v>6</v>
      </c>
      <c r="AM16" s="3">
        <v>1</v>
      </c>
      <c r="AN16" s="3">
        <v>1</v>
      </c>
      <c r="AO16" s="3">
        <v>0</v>
      </c>
      <c r="AP16" s="3">
        <v>0</v>
      </c>
      <c r="AQ16" s="3">
        <v>1</v>
      </c>
      <c r="AR16" s="3">
        <v>0</v>
      </c>
      <c r="AS16" s="3">
        <v>1</v>
      </c>
      <c r="AT16" s="3">
        <v>0</v>
      </c>
      <c r="AU16" s="40">
        <f t="shared" si="4"/>
        <v>4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43">
        <f t="shared" si="5"/>
        <v>7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43">
        <f t="shared" si="6"/>
        <v>10</v>
      </c>
      <c r="BQ16" s="22">
        <f t="shared" si="7"/>
        <v>51</v>
      </c>
      <c r="BR16" s="22">
        <f t="shared" si="8"/>
        <v>91.071428571428569</v>
      </c>
    </row>
    <row r="17" spans="1:70" ht="18.75" x14ac:dyDescent="0.3">
      <c r="A17" s="2">
        <v>12</v>
      </c>
      <c r="B17" s="16" t="s">
        <v>58</v>
      </c>
      <c r="C17" s="20" t="s">
        <v>59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9">
        <f t="shared" si="0"/>
        <v>9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9">
        <f t="shared" ref="V17:V18" si="21">SUM(N17:U17)</f>
        <v>8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9">
        <f t="shared" ref="AD17:AD18" si="22">SUM(W17:AC17)</f>
        <v>7</v>
      </c>
      <c r="AE17" s="3">
        <v>0</v>
      </c>
      <c r="AF17" s="3">
        <v>1</v>
      </c>
      <c r="AG17" s="3">
        <v>0</v>
      </c>
      <c r="AH17" s="3">
        <v>1</v>
      </c>
      <c r="AI17" s="3">
        <v>1</v>
      </c>
      <c r="AJ17" s="3">
        <v>1</v>
      </c>
      <c r="AK17" s="3">
        <v>1</v>
      </c>
      <c r="AL17" s="43">
        <f t="shared" ref="AL17:AL18" si="23">SUM(AE17:AK17)</f>
        <v>5</v>
      </c>
      <c r="AM17" s="3">
        <v>0</v>
      </c>
      <c r="AN17" s="3">
        <v>0</v>
      </c>
      <c r="AO17" s="3">
        <v>1</v>
      </c>
      <c r="AP17" s="3">
        <v>0</v>
      </c>
      <c r="AQ17" s="3">
        <v>1</v>
      </c>
      <c r="AR17" s="3">
        <v>0</v>
      </c>
      <c r="AS17" s="3">
        <v>1</v>
      </c>
      <c r="AT17" s="3">
        <v>1</v>
      </c>
      <c r="AU17" s="40">
        <f t="shared" si="4"/>
        <v>4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43">
        <f t="shared" si="5"/>
        <v>7</v>
      </c>
      <c r="BD17" s="3">
        <v>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43">
        <f t="shared" si="6"/>
        <v>10</v>
      </c>
      <c r="BQ17" s="22">
        <f t="shared" si="7"/>
        <v>50</v>
      </c>
      <c r="BR17" s="22">
        <f t="shared" si="8"/>
        <v>89.285714285714292</v>
      </c>
    </row>
    <row r="18" spans="1:70" ht="18.75" x14ac:dyDescent="0.3">
      <c r="A18" s="2">
        <v>13</v>
      </c>
      <c r="B18" s="16" t="s">
        <v>60</v>
      </c>
      <c r="C18" s="20" t="s">
        <v>61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9">
        <f t="shared" si="0"/>
        <v>9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9">
        <f t="shared" si="21"/>
        <v>8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9">
        <f t="shared" si="22"/>
        <v>7</v>
      </c>
      <c r="AE18" s="3">
        <v>1</v>
      </c>
      <c r="AF18" s="3">
        <v>1</v>
      </c>
      <c r="AG18" s="3">
        <v>1</v>
      </c>
      <c r="AH18" s="3">
        <v>1</v>
      </c>
      <c r="AI18" s="3">
        <v>0</v>
      </c>
      <c r="AJ18" s="3">
        <v>1</v>
      </c>
      <c r="AK18" s="3">
        <v>1</v>
      </c>
      <c r="AL18" s="43">
        <f t="shared" si="23"/>
        <v>6</v>
      </c>
      <c r="AM18" s="3">
        <v>1</v>
      </c>
      <c r="AN18" s="3">
        <v>0</v>
      </c>
      <c r="AO18" s="3">
        <v>0</v>
      </c>
      <c r="AP18" s="3">
        <v>1</v>
      </c>
      <c r="AQ18" s="3">
        <v>0</v>
      </c>
      <c r="AR18" s="3">
        <v>1</v>
      </c>
      <c r="AS18" s="3">
        <v>0</v>
      </c>
      <c r="AT18" s="3">
        <v>1</v>
      </c>
      <c r="AU18" s="40">
        <f t="shared" si="4"/>
        <v>4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43">
        <f t="shared" si="5"/>
        <v>7</v>
      </c>
      <c r="BD18" s="3">
        <v>1</v>
      </c>
      <c r="BE18" s="3">
        <v>0</v>
      </c>
      <c r="BF18" s="3">
        <v>0</v>
      </c>
      <c r="BG18" s="3">
        <v>1</v>
      </c>
      <c r="BH18" s="3">
        <v>0</v>
      </c>
      <c r="BI18" s="3">
        <v>0</v>
      </c>
      <c r="BJ18" s="3">
        <v>1</v>
      </c>
      <c r="BK18" s="3">
        <v>0</v>
      </c>
      <c r="BL18" s="3">
        <v>1</v>
      </c>
      <c r="BM18" s="3">
        <v>1</v>
      </c>
      <c r="BN18" s="43">
        <f t="shared" si="6"/>
        <v>5</v>
      </c>
      <c r="BQ18" s="22">
        <f t="shared" si="7"/>
        <v>46</v>
      </c>
      <c r="BR18" s="22">
        <f t="shared" si="8"/>
        <v>82.142857142857139</v>
      </c>
    </row>
    <row r="19" spans="1:70" ht="18.75" x14ac:dyDescent="0.3">
      <c r="A19" s="2">
        <v>14</v>
      </c>
      <c r="B19" s="16" t="s">
        <v>62</v>
      </c>
      <c r="C19" s="20" t="s">
        <v>63</v>
      </c>
      <c r="D19" s="3">
        <v>0</v>
      </c>
      <c r="E19" s="3">
        <v>1</v>
      </c>
      <c r="F19" s="3">
        <v>1</v>
      </c>
      <c r="G19" s="3">
        <v>1</v>
      </c>
      <c r="H19" s="3">
        <v>0</v>
      </c>
      <c r="I19" s="3">
        <v>1</v>
      </c>
      <c r="J19" s="3">
        <v>1</v>
      </c>
      <c r="K19" s="3">
        <v>1</v>
      </c>
      <c r="L19" s="3">
        <v>1</v>
      </c>
      <c r="M19" s="39">
        <f t="shared" si="0"/>
        <v>7</v>
      </c>
      <c r="N19" s="3">
        <v>0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0</v>
      </c>
      <c r="V19" s="39">
        <f t="shared" ref="V19:V21" si="24">SUM(N19:U19)</f>
        <v>6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9">
        <f t="shared" ref="AD19:AD21" si="25">SUM(W19:AC19)</f>
        <v>7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43">
        <f t="shared" ref="AL19:AL21" si="26">SUM(AE19:AK19)</f>
        <v>7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40">
        <f t="shared" si="4"/>
        <v>8</v>
      </c>
      <c r="AV19" s="3">
        <v>1</v>
      </c>
      <c r="AW19" s="3">
        <v>0</v>
      </c>
      <c r="AX19" s="3">
        <v>1</v>
      </c>
      <c r="AY19" s="3">
        <v>0</v>
      </c>
      <c r="AZ19" s="3">
        <v>0</v>
      </c>
      <c r="BA19" s="3">
        <v>1</v>
      </c>
      <c r="BB19" s="3">
        <v>0</v>
      </c>
      <c r="BC19" s="43">
        <f t="shared" si="5"/>
        <v>3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43">
        <f t="shared" si="6"/>
        <v>10</v>
      </c>
      <c r="BQ19" s="22">
        <f t="shared" si="7"/>
        <v>48</v>
      </c>
      <c r="BR19" s="22">
        <f t="shared" si="8"/>
        <v>85.714285714285708</v>
      </c>
    </row>
    <row r="20" spans="1:70" ht="18.75" x14ac:dyDescent="0.3">
      <c r="A20" s="2">
        <v>15</v>
      </c>
      <c r="B20" s="16" t="s">
        <v>64</v>
      </c>
      <c r="C20" s="20" t="s">
        <v>65</v>
      </c>
      <c r="D20" s="3">
        <v>1</v>
      </c>
      <c r="E20" s="3">
        <v>1</v>
      </c>
      <c r="F20" s="3">
        <v>0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9">
        <f t="shared" si="0"/>
        <v>8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1</v>
      </c>
      <c r="T20" s="3">
        <v>1</v>
      </c>
      <c r="U20" s="3">
        <v>1</v>
      </c>
      <c r="V20" s="39">
        <f t="shared" si="24"/>
        <v>7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9">
        <f t="shared" si="25"/>
        <v>7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0</v>
      </c>
      <c r="AL20" s="43">
        <f t="shared" si="26"/>
        <v>6</v>
      </c>
      <c r="AM20" s="3">
        <v>1</v>
      </c>
      <c r="AN20" s="3">
        <v>1</v>
      </c>
      <c r="AO20" s="3">
        <v>0</v>
      </c>
      <c r="AP20" s="3">
        <v>0</v>
      </c>
      <c r="AQ20" s="3">
        <v>1</v>
      </c>
      <c r="AR20" s="3">
        <v>0</v>
      </c>
      <c r="AS20" s="3">
        <v>1</v>
      </c>
      <c r="AT20" s="3">
        <v>0</v>
      </c>
      <c r="AU20" s="40">
        <f t="shared" si="4"/>
        <v>4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43">
        <f t="shared" si="5"/>
        <v>7</v>
      </c>
      <c r="BD20" s="3">
        <v>1</v>
      </c>
      <c r="BE20" s="3">
        <v>1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  <c r="BN20" s="43">
        <f t="shared" si="6"/>
        <v>10</v>
      </c>
      <c r="BQ20" s="22">
        <f t="shared" si="7"/>
        <v>49</v>
      </c>
      <c r="BR20" s="22">
        <f t="shared" si="8"/>
        <v>87.5</v>
      </c>
    </row>
    <row r="21" spans="1:70" ht="18.75" x14ac:dyDescent="0.3">
      <c r="A21" s="2">
        <v>16</v>
      </c>
      <c r="B21" s="16" t="s">
        <v>66</v>
      </c>
      <c r="C21" s="20" t="s">
        <v>67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9">
        <f t="shared" si="0"/>
        <v>9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9">
        <f t="shared" si="24"/>
        <v>8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9">
        <f t="shared" si="25"/>
        <v>7</v>
      </c>
      <c r="AE21" s="3">
        <v>1</v>
      </c>
      <c r="AF21" s="3">
        <v>1</v>
      </c>
      <c r="AG21" s="3">
        <v>1</v>
      </c>
      <c r="AH21" s="3">
        <v>1</v>
      </c>
      <c r="AI21" s="3">
        <v>0</v>
      </c>
      <c r="AJ21" s="3">
        <v>1</v>
      </c>
      <c r="AK21" s="3">
        <v>1</v>
      </c>
      <c r="AL21" s="43">
        <f t="shared" si="26"/>
        <v>6</v>
      </c>
      <c r="AM21" s="3">
        <v>0</v>
      </c>
      <c r="AN21" s="3">
        <v>0</v>
      </c>
      <c r="AO21" s="3">
        <v>1</v>
      </c>
      <c r="AP21" s="3">
        <v>0</v>
      </c>
      <c r="AQ21" s="3">
        <v>1</v>
      </c>
      <c r="AR21" s="3">
        <v>0</v>
      </c>
      <c r="AS21" s="3">
        <v>1</v>
      </c>
      <c r="AT21" s="3">
        <v>1</v>
      </c>
      <c r="AU21" s="40">
        <f t="shared" si="4"/>
        <v>4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43">
        <f t="shared" si="5"/>
        <v>7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43">
        <f t="shared" si="6"/>
        <v>10</v>
      </c>
      <c r="BQ21" s="22">
        <f t="shared" si="7"/>
        <v>51</v>
      </c>
      <c r="BR21" s="22">
        <f t="shared" si="8"/>
        <v>91.071428571428569</v>
      </c>
    </row>
    <row r="22" spans="1:70" ht="18.75" x14ac:dyDescent="0.3">
      <c r="A22" s="2">
        <v>17</v>
      </c>
      <c r="B22" s="16" t="s">
        <v>68</v>
      </c>
      <c r="C22" s="20" t="s">
        <v>69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9">
        <f t="shared" si="0"/>
        <v>9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9">
        <f t="shared" ref="V22" si="27">SUM(N22:U22)</f>
        <v>8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9">
        <f t="shared" ref="AD22" si="28">SUM(W22:AC22)</f>
        <v>7</v>
      </c>
      <c r="AE22" s="3">
        <v>0</v>
      </c>
      <c r="AF22" s="3">
        <v>1</v>
      </c>
      <c r="AG22" s="3">
        <v>0</v>
      </c>
      <c r="AH22" s="3">
        <v>1</v>
      </c>
      <c r="AI22" s="3">
        <v>1</v>
      </c>
      <c r="AJ22" s="3">
        <v>1</v>
      </c>
      <c r="AK22" s="3">
        <v>1</v>
      </c>
      <c r="AL22" s="43">
        <f t="shared" ref="AL22" si="29">SUM(AE22:AK22)</f>
        <v>5</v>
      </c>
      <c r="AM22" s="3">
        <v>1</v>
      </c>
      <c r="AN22" s="3">
        <v>1</v>
      </c>
      <c r="AO22" s="3">
        <v>0</v>
      </c>
      <c r="AP22" s="3">
        <v>0</v>
      </c>
      <c r="AQ22" s="3">
        <v>1</v>
      </c>
      <c r="AR22" s="3">
        <v>0</v>
      </c>
      <c r="AS22" s="3">
        <v>1</v>
      </c>
      <c r="AT22" s="3">
        <v>0</v>
      </c>
      <c r="AU22" s="40">
        <f t="shared" si="4"/>
        <v>4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43">
        <f t="shared" si="5"/>
        <v>7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43">
        <f t="shared" si="6"/>
        <v>10</v>
      </c>
      <c r="BQ22" s="22">
        <f t="shared" si="7"/>
        <v>50</v>
      </c>
      <c r="BR22" s="22">
        <f t="shared" si="8"/>
        <v>89.285714285714292</v>
      </c>
    </row>
    <row r="23" spans="1:70" ht="18" x14ac:dyDescent="0.35">
      <c r="A23" s="2">
        <v>18</v>
      </c>
      <c r="B23" s="16" t="s">
        <v>70</v>
      </c>
      <c r="C23" s="20" t="s">
        <v>71</v>
      </c>
      <c r="D23" s="3">
        <v>0</v>
      </c>
      <c r="E23" s="3">
        <v>1</v>
      </c>
      <c r="F23" s="3">
        <v>1</v>
      </c>
      <c r="G23" s="3">
        <v>1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9">
        <f t="shared" si="0"/>
        <v>7</v>
      </c>
      <c r="N23" s="3">
        <v>0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0</v>
      </c>
      <c r="V23" s="39">
        <f t="shared" ref="V23:V25" si="30">SUM(N23:U23)</f>
        <v>6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9">
        <f t="shared" ref="AD23:AD25" si="31">SUM(W23:AC23)</f>
        <v>7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43">
        <f t="shared" ref="AL23:AL25" si="32">SUM(AE23:AK23)</f>
        <v>7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40">
        <f t="shared" si="4"/>
        <v>8</v>
      </c>
      <c r="AV23" s="3">
        <v>0</v>
      </c>
      <c r="AW23" s="3">
        <v>1</v>
      </c>
      <c r="AX23" s="3">
        <v>0</v>
      </c>
      <c r="AY23" s="3">
        <v>0</v>
      </c>
      <c r="AZ23" s="3">
        <v>1</v>
      </c>
      <c r="BA23" s="3">
        <v>0</v>
      </c>
      <c r="BB23" s="3">
        <v>1</v>
      </c>
      <c r="BC23" s="43">
        <f t="shared" si="5"/>
        <v>3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43">
        <f t="shared" si="6"/>
        <v>10</v>
      </c>
      <c r="BQ23" s="22">
        <f t="shared" si="7"/>
        <v>48</v>
      </c>
      <c r="BR23" s="22">
        <f t="shared" si="8"/>
        <v>85.714285714285708</v>
      </c>
    </row>
    <row r="24" spans="1:70" ht="18" x14ac:dyDescent="0.35">
      <c r="A24" s="2">
        <v>19</v>
      </c>
      <c r="B24" s="16" t="s">
        <v>72</v>
      </c>
      <c r="C24" s="20" t="s">
        <v>73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9">
        <f t="shared" ref="M24:M25" si="33">SUM(D24:L24)</f>
        <v>9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9">
        <f t="shared" si="30"/>
        <v>8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9">
        <f t="shared" si="31"/>
        <v>7</v>
      </c>
      <c r="AE24" s="3">
        <v>1</v>
      </c>
      <c r="AF24" s="3">
        <v>1</v>
      </c>
      <c r="AG24" s="3">
        <v>1</v>
      </c>
      <c r="AH24" s="3">
        <v>1</v>
      </c>
      <c r="AI24" s="3">
        <v>0</v>
      </c>
      <c r="AJ24" s="3">
        <v>1</v>
      </c>
      <c r="AK24" s="3">
        <v>1</v>
      </c>
      <c r="AL24" s="43">
        <f t="shared" si="32"/>
        <v>6</v>
      </c>
      <c r="AM24" s="3">
        <v>0</v>
      </c>
      <c r="AN24" s="3">
        <v>0</v>
      </c>
      <c r="AO24" s="3">
        <v>1</v>
      </c>
      <c r="AP24" s="3">
        <v>0</v>
      </c>
      <c r="AQ24" s="3">
        <v>1</v>
      </c>
      <c r="AR24" s="3">
        <v>0</v>
      </c>
      <c r="AS24" s="3">
        <v>1</v>
      </c>
      <c r="AT24" s="3">
        <v>1</v>
      </c>
      <c r="AU24" s="40">
        <f t="shared" si="4"/>
        <v>4</v>
      </c>
      <c r="AV24" s="3">
        <v>1</v>
      </c>
      <c r="AW24" s="3">
        <v>0</v>
      </c>
      <c r="AX24" s="3">
        <v>0</v>
      </c>
      <c r="AY24" s="3">
        <v>1</v>
      </c>
      <c r="AZ24" s="3">
        <v>0</v>
      </c>
      <c r="BA24" s="3">
        <v>1</v>
      </c>
      <c r="BB24" s="3">
        <v>1</v>
      </c>
      <c r="BC24" s="43">
        <f t="shared" si="5"/>
        <v>4</v>
      </c>
      <c r="BD24" s="3">
        <v>0</v>
      </c>
      <c r="BE24" s="3">
        <v>0</v>
      </c>
      <c r="BF24" s="3">
        <v>1</v>
      </c>
      <c r="BG24" s="3">
        <v>0</v>
      </c>
      <c r="BH24" s="3">
        <v>0</v>
      </c>
      <c r="BI24" s="3">
        <v>1</v>
      </c>
      <c r="BJ24" s="3">
        <v>0</v>
      </c>
      <c r="BK24" s="3">
        <v>1</v>
      </c>
      <c r="BL24" s="3">
        <v>1</v>
      </c>
      <c r="BM24" s="3">
        <v>1</v>
      </c>
      <c r="BN24" s="43">
        <f t="shared" si="6"/>
        <v>5</v>
      </c>
      <c r="BQ24" s="22">
        <f t="shared" si="7"/>
        <v>43</v>
      </c>
      <c r="BR24" s="22">
        <f t="shared" si="8"/>
        <v>76.785714285714292</v>
      </c>
    </row>
    <row r="25" spans="1:70" ht="18" x14ac:dyDescent="0.35">
      <c r="A25" s="2">
        <v>20</v>
      </c>
      <c r="B25" s="16" t="s">
        <v>74</v>
      </c>
      <c r="C25" s="20" t="s">
        <v>75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9">
        <f t="shared" si="33"/>
        <v>9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9">
        <f t="shared" si="30"/>
        <v>8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9">
        <f t="shared" si="31"/>
        <v>7</v>
      </c>
      <c r="AE25" s="3">
        <v>1</v>
      </c>
      <c r="AF25" s="3">
        <v>1</v>
      </c>
      <c r="AG25" s="3">
        <v>1</v>
      </c>
      <c r="AH25" s="3">
        <v>1</v>
      </c>
      <c r="AI25" s="3">
        <v>0</v>
      </c>
      <c r="AJ25" s="3">
        <v>1</v>
      </c>
      <c r="AK25" s="3">
        <v>1</v>
      </c>
      <c r="AL25" s="43">
        <f t="shared" si="32"/>
        <v>6</v>
      </c>
      <c r="AM25" s="3">
        <v>1</v>
      </c>
      <c r="AN25" s="3">
        <v>1</v>
      </c>
      <c r="AO25" s="3">
        <v>0</v>
      </c>
      <c r="AP25" s="3">
        <v>0</v>
      </c>
      <c r="AQ25" s="3">
        <v>1</v>
      </c>
      <c r="AR25" s="3">
        <v>0</v>
      </c>
      <c r="AS25" s="3">
        <v>1</v>
      </c>
      <c r="AT25" s="3">
        <v>0</v>
      </c>
      <c r="AU25" s="40">
        <f t="shared" si="4"/>
        <v>4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43">
        <f t="shared" si="5"/>
        <v>7</v>
      </c>
      <c r="BD25" s="3">
        <v>1</v>
      </c>
      <c r="BE25" s="3">
        <v>0</v>
      </c>
      <c r="BF25" s="3">
        <v>0</v>
      </c>
      <c r="BG25" s="3">
        <v>1</v>
      </c>
      <c r="BH25" s="3">
        <v>0</v>
      </c>
      <c r="BI25" s="3">
        <v>0</v>
      </c>
      <c r="BJ25" s="3">
        <v>1</v>
      </c>
      <c r="BK25" s="3">
        <v>0</v>
      </c>
      <c r="BL25" s="3">
        <v>1</v>
      </c>
      <c r="BM25" s="3">
        <v>1</v>
      </c>
      <c r="BN25" s="43">
        <f t="shared" si="6"/>
        <v>5</v>
      </c>
      <c r="BQ25" s="22">
        <f t="shared" si="7"/>
        <v>46</v>
      </c>
      <c r="BR25" s="22">
        <f t="shared" si="8"/>
        <v>82.142857142857139</v>
      </c>
    </row>
    <row r="26" spans="1:70" ht="18" x14ac:dyDescent="0.35">
      <c r="A26" s="2">
        <v>21</v>
      </c>
      <c r="B26" s="16" t="s">
        <v>76</v>
      </c>
      <c r="C26" s="20" t="s">
        <v>77</v>
      </c>
      <c r="D26" s="3">
        <v>1</v>
      </c>
      <c r="E26" s="3">
        <v>1</v>
      </c>
      <c r="F26" s="3">
        <v>0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9">
        <f t="shared" ref="M26:M39" si="34">SUM(D26:L26)</f>
        <v>8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1</v>
      </c>
      <c r="T26" s="3">
        <v>1</v>
      </c>
      <c r="U26" s="3">
        <v>1</v>
      </c>
      <c r="V26" s="39">
        <f t="shared" ref="V26:V27" si="35">SUM(N26:U26)</f>
        <v>7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9">
        <f t="shared" ref="AD26:AD27" si="36">SUM(W26:AC26)</f>
        <v>7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0</v>
      </c>
      <c r="AL26" s="43">
        <f t="shared" ref="AL26:AL27" si="37">SUM(AE26:AK26)</f>
        <v>6</v>
      </c>
      <c r="AM26" s="3">
        <v>0</v>
      </c>
      <c r="AN26" s="3">
        <v>0</v>
      </c>
      <c r="AO26" s="3">
        <v>1</v>
      </c>
      <c r="AP26" s="3">
        <v>0</v>
      </c>
      <c r="AQ26" s="3">
        <v>1</v>
      </c>
      <c r="AR26" s="3">
        <v>0</v>
      </c>
      <c r="AS26" s="3">
        <v>1</v>
      </c>
      <c r="AT26" s="3">
        <v>1</v>
      </c>
      <c r="AU26" s="40">
        <f t="shared" si="4"/>
        <v>4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43">
        <f t="shared" si="5"/>
        <v>7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43">
        <f t="shared" si="6"/>
        <v>10</v>
      </c>
      <c r="BQ26" s="22">
        <f t="shared" si="7"/>
        <v>49</v>
      </c>
      <c r="BR26" s="22">
        <f t="shared" si="8"/>
        <v>87.5</v>
      </c>
    </row>
    <row r="27" spans="1:70" ht="18" x14ac:dyDescent="0.35">
      <c r="A27" s="2">
        <v>22</v>
      </c>
      <c r="B27" s="16" t="s">
        <v>78</v>
      </c>
      <c r="C27" s="20" t="s">
        <v>79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9">
        <f t="shared" si="34"/>
        <v>9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9">
        <f t="shared" si="35"/>
        <v>8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9">
        <f t="shared" si="36"/>
        <v>7</v>
      </c>
      <c r="AE27" s="3">
        <v>1</v>
      </c>
      <c r="AF27" s="3">
        <v>1</v>
      </c>
      <c r="AG27" s="3">
        <v>1</v>
      </c>
      <c r="AH27" s="3">
        <v>1</v>
      </c>
      <c r="AI27" s="3">
        <v>0</v>
      </c>
      <c r="AJ27" s="3">
        <v>1</v>
      </c>
      <c r="AK27" s="3">
        <v>1</v>
      </c>
      <c r="AL27" s="43">
        <f t="shared" si="37"/>
        <v>6</v>
      </c>
      <c r="AM27" s="3">
        <v>1</v>
      </c>
      <c r="AN27" s="3">
        <v>1</v>
      </c>
      <c r="AO27" s="3">
        <v>0</v>
      </c>
      <c r="AP27" s="3">
        <v>0</v>
      </c>
      <c r="AQ27" s="3">
        <v>1</v>
      </c>
      <c r="AR27" s="3">
        <v>0</v>
      </c>
      <c r="AS27" s="3">
        <v>1</v>
      </c>
      <c r="AT27" s="3">
        <v>0</v>
      </c>
      <c r="AU27" s="40">
        <f t="shared" si="4"/>
        <v>4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43">
        <f t="shared" si="5"/>
        <v>7</v>
      </c>
      <c r="BD27" s="3">
        <v>1</v>
      </c>
      <c r="BE27" s="3">
        <v>1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43">
        <f t="shared" si="6"/>
        <v>10</v>
      </c>
      <c r="BQ27" s="22">
        <f t="shared" si="7"/>
        <v>51</v>
      </c>
      <c r="BR27" s="22">
        <f t="shared" si="8"/>
        <v>91.071428571428569</v>
      </c>
    </row>
    <row r="28" spans="1:70" ht="18" x14ac:dyDescent="0.35">
      <c r="A28" s="2">
        <v>23</v>
      </c>
      <c r="B28" s="16" t="s">
        <v>80</v>
      </c>
      <c r="C28" s="20" t="s">
        <v>81</v>
      </c>
      <c r="D28" s="3">
        <v>0</v>
      </c>
      <c r="E28" s="3">
        <v>1</v>
      </c>
      <c r="F28" s="3">
        <v>1</v>
      </c>
      <c r="G28" s="3">
        <v>1</v>
      </c>
      <c r="H28" s="3">
        <v>0</v>
      </c>
      <c r="I28" s="3">
        <v>1</v>
      </c>
      <c r="J28" s="3">
        <v>1</v>
      </c>
      <c r="K28" s="3">
        <v>1</v>
      </c>
      <c r="L28" s="3">
        <v>1</v>
      </c>
      <c r="M28" s="39">
        <f t="shared" si="34"/>
        <v>7</v>
      </c>
      <c r="N28" s="3">
        <v>0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0</v>
      </c>
      <c r="V28" s="39">
        <f t="shared" ref="V28:V30" si="38">SUM(N28:U28)</f>
        <v>6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9">
        <f t="shared" ref="AD28:AD30" si="39">SUM(W28:AC28)</f>
        <v>7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43">
        <f t="shared" ref="AL28:AL30" si="40">SUM(AE28:AK28)</f>
        <v>7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1</v>
      </c>
      <c r="AU28" s="40">
        <f t="shared" si="4"/>
        <v>8</v>
      </c>
      <c r="AV28" s="3">
        <v>1</v>
      </c>
      <c r="AW28" s="3">
        <v>0</v>
      </c>
      <c r="AX28" s="3">
        <v>1</v>
      </c>
      <c r="AY28" s="3">
        <v>0</v>
      </c>
      <c r="AZ28" s="3">
        <v>0</v>
      </c>
      <c r="BA28" s="3">
        <v>1</v>
      </c>
      <c r="BB28" s="3">
        <v>0</v>
      </c>
      <c r="BC28" s="43">
        <f t="shared" si="5"/>
        <v>3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43">
        <f t="shared" si="6"/>
        <v>10</v>
      </c>
      <c r="BQ28" s="22">
        <f t="shared" si="7"/>
        <v>48</v>
      </c>
      <c r="BR28" s="22">
        <f t="shared" si="8"/>
        <v>85.714285714285708</v>
      </c>
    </row>
    <row r="29" spans="1:70" ht="18" x14ac:dyDescent="0.35">
      <c r="A29" s="2">
        <v>24</v>
      </c>
      <c r="B29" s="16" t="s">
        <v>82</v>
      </c>
      <c r="C29" s="20" t="s">
        <v>83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9">
        <f t="shared" si="34"/>
        <v>9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9">
        <f t="shared" si="38"/>
        <v>8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9">
        <f t="shared" si="39"/>
        <v>7</v>
      </c>
      <c r="AE29" s="3">
        <v>0</v>
      </c>
      <c r="AF29" s="3">
        <v>1</v>
      </c>
      <c r="AG29" s="3">
        <v>0</v>
      </c>
      <c r="AH29" s="3">
        <v>1</v>
      </c>
      <c r="AI29" s="3">
        <v>1</v>
      </c>
      <c r="AJ29" s="3">
        <v>1</v>
      </c>
      <c r="AK29" s="3">
        <v>1</v>
      </c>
      <c r="AL29" s="43">
        <f t="shared" si="40"/>
        <v>5</v>
      </c>
      <c r="AM29" s="3">
        <v>0</v>
      </c>
      <c r="AN29" s="3">
        <v>0</v>
      </c>
      <c r="AO29" s="3">
        <v>1</v>
      </c>
      <c r="AP29" s="3">
        <v>0</v>
      </c>
      <c r="AQ29" s="3">
        <v>1</v>
      </c>
      <c r="AR29" s="3">
        <v>0</v>
      </c>
      <c r="AS29" s="3">
        <v>1</v>
      </c>
      <c r="AT29" s="3">
        <v>1</v>
      </c>
      <c r="AU29" s="40">
        <f t="shared" si="4"/>
        <v>4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43">
        <f t="shared" si="5"/>
        <v>7</v>
      </c>
      <c r="BD29" s="3">
        <v>1</v>
      </c>
      <c r="BE29" s="3">
        <v>1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3">
        <v>1</v>
      </c>
      <c r="BM29" s="3">
        <v>1</v>
      </c>
      <c r="BN29" s="43">
        <f t="shared" si="6"/>
        <v>10</v>
      </c>
      <c r="BQ29" s="22">
        <f t="shared" si="7"/>
        <v>50</v>
      </c>
      <c r="BR29" s="22">
        <f t="shared" si="8"/>
        <v>89.285714285714292</v>
      </c>
    </row>
    <row r="30" spans="1:70" ht="18" x14ac:dyDescent="0.35">
      <c r="A30" s="2">
        <v>25</v>
      </c>
      <c r="B30" s="16" t="s">
        <v>84</v>
      </c>
      <c r="C30" s="20" t="s">
        <v>85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9">
        <f t="shared" si="34"/>
        <v>9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9">
        <f t="shared" si="38"/>
        <v>8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9">
        <f t="shared" si="39"/>
        <v>7</v>
      </c>
      <c r="AE30" s="3">
        <v>1</v>
      </c>
      <c r="AF30" s="3">
        <v>1</v>
      </c>
      <c r="AG30" s="3">
        <v>1</v>
      </c>
      <c r="AH30" s="3">
        <v>1</v>
      </c>
      <c r="AI30" s="3">
        <v>0</v>
      </c>
      <c r="AJ30" s="3">
        <v>1</v>
      </c>
      <c r="AK30" s="3">
        <v>1</v>
      </c>
      <c r="AL30" s="43">
        <f t="shared" si="40"/>
        <v>6</v>
      </c>
      <c r="AM30" s="3">
        <v>1</v>
      </c>
      <c r="AN30" s="3">
        <v>1</v>
      </c>
      <c r="AO30" s="3">
        <v>0</v>
      </c>
      <c r="AP30" s="3">
        <v>0</v>
      </c>
      <c r="AQ30" s="3">
        <v>1</v>
      </c>
      <c r="AR30" s="3">
        <v>0</v>
      </c>
      <c r="AS30" s="3">
        <v>1</v>
      </c>
      <c r="AT30" s="3">
        <v>0</v>
      </c>
      <c r="AU30" s="40">
        <f t="shared" si="4"/>
        <v>4</v>
      </c>
      <c r="AV30" s="3">
        <v>1</v>
      </c>
      <c r="AW30" s="3">
        <v>0</v>
      </c>
      <c r="AX30" s="3">
        <v>0</v>
      </c>
      <c r="AY30" s="3">
        <v>1</v>
      </c>
      <c r="AZ30" s="3">
        <v>0</v>
      </c>
      <c r="BA30" s="3">
        <v>1</v>
      </c>
      <c r="BB30" s="3">
        <v>1</v>
      </c>
      <c r="BC30" s="43">
        <f t="shared" si="5"/>
        <v>4</v>
      </c>
      <c r="BD30" s="3">
        <v>0</v>
      </c>
      <c r="BE30" s="3">
        <v>0</v>
      </c>
      <c r="BF30" s="3">
        <v>1</v>
      </c>
      <c r="BG30" s="3">
        <v>0</v>
      </c>
      <c r="BH30" s="3">
        <v>0</v>
      </c>
      <c r="BI30" s="3">
        <v>1</v>
      </c>
      <c r="BJ30" s="3">
        <v>0</v>
      </c>
      <c r="BK30" s="3">
        <v>1</v>
      </c>
      <c r="BL30" s="3">
        <v>1</v>
      </c>
      <c r="BM30" s="3">
        <v>1</v>
      </c>
      <c r="BN30" s="43">
        <f t="shared" si="6"/>
        <v>5</v>
      </c>
      <c r="BQ30" s="22">
        <f t="shared" si="7"/>
        <v>43</v>
      </c>
      <c r="BR30" s="22">
        <f t="shared" si="8"/>
        <v>76.785714285714292</v>
      </c>
    </row>
    <row r="31" spans="1:70" ht="18" x14ac:dyDescent="0.35">
      <c r="A31" s="2">
        <v>26</v>
      </c>
      <c r="B31" s="16" t="s">
        <v>86</v>
      </c>
      <c r="C31" s="20" t="s">
        <v>87</v>
      </c>
      <c r="D31" s="3">
        <v>1</v>
      </c>
      <c r="E31" s="3">
        <v>1</v>
      </c>
      <c r="F31" s="3">
        <v>0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9">
        <f t="shared" si="34"/>
        <v>8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1</v>
      </c>
      <c r="T31" s="3">
        <v>1</v>
      </c>
      <c r="U31" s="3">
        <v>1</v>
      </c>
      <c r="V31" s="39">
        <f t="shared" ref="V31:V32" si="41">SUM(N31:U31)</f>
        <v>7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9">
        <f t="shared" ref="AD31:AD32" si="42">SUM(W31:AC31)</f>
        <v>7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0</v>
      </c>
      <c r="AL31" s="43">
        <f t="shared" ref="AL31:AL32" si="43">SUM(AE31:AK31)</f>
        <v>6</v>
      </c>
      <c r="AM31" s="3">
        <v>0</v>
      </c>
      <c r="AN31" s="3">
        <v>0</v>
      </c>
      <c r="AO31" s="3">
        <v>1</v>
      </c>
      <c r="AP31" s="3">
        <v>0</v>
      </c>
      <c r="AQ31" s="3">
        <v>1</v>
      </c>
      <c r="AR31" s="3">
        <v>0</v>
      </c>
      <c r="AS31" s="3">
        <v>1</v>
      </c>
      <c r="AT31" s="3">
        <v>1</v>
      </c>
      <c r="AU31" s="40">
        <f t="shared" si="4"/>
        <v>4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43">
        <f t="shared" si="5"/>
        <v>7</v>
      </c>
      <c r="BD31" s="3">
        <v>1</v>
      </c>
      <c r="BE31" s="3">
        <v>1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3">
        <v>1</v>
      </c>
      <c r="BM31" s="3">
        <v>1</v>
      </c>
      <c r="BN31" s="43">
        <f t="shared" si="6"/>
        <v>10</v>
      </c>
      <c r="BQ31" s="22">
        <f t="shared" si="7"/>
        <v>49</v>
      </c>
      <c r="BR31" s="22">
        <f t="shared" si="8"/>
        <v>87.5</v>
      </c>
    </row>
    <row r="32" spans="1:70" ht="18" x14ac:dyDescent="0.35">
      <c r="A32" s="2">
        <v>27</v>
      </c>
      <c r="B32" s="16" t="s">
        <v>88</v>
      </c>
      <c r="C32" s="20" t="s">
        <v>89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9">
        <f t="shared" si="34"/>
        <v>9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9">
        <f t="shared" si="41"/>
        <v>8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9">
        <f t="shared" si="42"/>
        <v>7</v>
      </c>
      <c r="AE32" s="3">
        <v>1</v>
      </c>
      <c r="AF32" s="3">
        <v>1</v>
      </c>
      <c r="AG32" s="3">
        <v>1</v>
      </c>
      <c r="AH32" s="3">
        <v>1</v>
      </c>
      <c r="AI32" s="3">
        <v>0</v>
      </c>
      <c r="AJ32" s="3">
        <v>1</v>
      </c>
      <c r="AK32" s="3">
        <v>1</v>
      </c>
      <c r="AL32" s="43">
        <f t="shared" si="43"/>
        <v>6</v>
      </c>
      <c r="AM32" s="3">
        <v>1</v>
      </c>
      <c r="AN32" s="3">
        <v>0</v>
      </c>
      <c r="AO32" s="3">
        <v>0</v>
      </c>
      <c r="AP32" s="3">
        <v>1</v>
      </c>
      <c r="AQ32" s="3">
        <v>0</v>
      </c>
      <c r="AR32" s="3">
        <v>1</v>
      </c>
      <c r="AS32" s="3">
        <v>0</v>
      </c>
      <c r="AT32" s="3">
        <v>1</v>
      </c>
      <c r="AU32" s="40">
        <f t="shared" si="4"/>
        <v>4</v>
      </c>
      <c r="AV32" s="3">
        <v>1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43">
        <f t="shared" si="5"/>
        <v>7</v>
      </c>
      <c r="BD32" s="3">
        <v>1</v>
      </c>
      <c r="BE32" s="3">
        <v>0</v>
      </c>
      <c r="BF32" s="3">
        <v>0</v>
      </c>
      <c r="BG32" s="3">
        <v>1</v>
      </c>
      <c r="BH32" s="3">
        <v>0</v>
      </c>
      <c r="BI32" s="3">
        <v>0</v>
      </c>
      <c r="BJ32" s="3">
        <v>1</v>
      </c>
      <c r="BK32" s="3">
        <v>0</v>
      </c>
      <c r="BL32" s="3">
        <v>1</v>
      </c>
      <c r="BM32" s="3">
        <v>1</v>
      </c>
      <c r="BN32" s="43">
        <f t="shared" si="6"/>
        <v>5</v>
      </c>
      <c r="BQ32" s="22">
        <f t="shared" si="7"/>
        <v>46</v>
      </c>
      <c r="BR32" s="22">
        <f t="shared" si="8"/>
        <v>82.142857142857139</v>
      </c>
    </row>
    <row r="33" spans="1:70" ht="18" x14ac:dyDescent="0.35">
      <c r="A33" s="2">
        <v>28</v>
      </c>
      <c r="B33" s="16" t="s">
        <v>90</v>
      </c>
      <c r="C33" s="20" t="s">
        <v>91</v>
      </c>
      <c r="D33" s="3">
        <v>0</v>
      </c>
      <c r="E33" s="3">
        <v>1</v>
      </c>
      <c r="F33" s="3">
        <v>1</v>
      </c>
      <c r="G33" s="3">
        <v>1</v>
      </c>
      <c r="H33" s="3">
        <v>0</v>
      </c>
      <c r="I33" s="3">
        <v>1</v>
      </c>
      <c r="J33" s="3">
        <v>1</v>
      </c>
      <c r="K33" s="3">
        <v>1</v>
      </c>
      <c r="L33" s="3">
        <v>1</v>
      </c>
      <c r="M33" s="39">
        <f t="shared" si="34"/>
        <v>7</v>
      </c>
      <c r="N33" s="3">
        <v>0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0</v>
      </c>
      <c r="V33" s="39">
        <f t="shared" ref="V33:V35" si="44">SUM(N33:U33)</f>
        <v>6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9">
        <f t="shared" ref="AD33:AD35" si="45">SUM(W33:AC33)</f>
        <v>7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43">
        <f t="shared" ref="AL33:AL35" si="46">SUM(AE33:AK33)</f>
        <v>7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40">
        <f t="shared" si="4"/>
        <v>8</v>
      </c>
      <c r="AV33" s="3">
        <v>0</v>
      </c>
      <c r="AW33" s="3">
        <v>1</v>
      </c>
      <c r="AX33" s="3">
        <v>0</v>
      </c>
      <c r="AY33" s="3">
        <v>0</v>
      </c>
      <c r="AZ33" s="3">
        <v>1</v>
      </c>
      <c r="BA33" s="3">
        <v>0</v>
      </c>
      <c r="BB33" s="3">
        <v>1</v>
      </c>
      <c r="BC33" s="43">
        <f t="shared" si="5"/>
        <v>3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43">
        <f t="shared" si="6"/>
        <v>10</v>
      </c>
      <c r="BQ33" s="22">
        <f t="shared" si="7"/>
        <v>48</v>
      </c>
      <c r="BR33" s="22">
        <f t="shared" si="8"/>
        <v>85.714285714285708</v>
      </c>
    </row>
    <row r="34" spans="1:70" ht="18" x14ac:dyDescent="0.35">
      <c r="A34" s="2">
        <v>29</v>
      </c>
      <c r="B34" s="16" t="s">
        <v>92</v>
      </c>
      <c r="C34" s="20" t="s">
        <v>93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9">
        <f t="shared" si="34"/>
        <v>9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9">
        <f t="shared" si="44"/>
        <v>8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9">
        <f t="shared" si="45"/>
        <v>7</v>
      </c>
      <c r="AE34" s="3">
        <v>0</v>
      </c>
      <c r="AF34" s="3">
        <v>1</v>
      </c>
      <c r="AG34" s="3">
        <v>0</v>
      </c>
      <c r="AH34" s="3">
        <v>1</v>
      </c>
      <c r="AI34" s="3">
        <v>1</v>
      </c>
      <c r="AJ34" s="3">
        <v>1</v>
      </c>
      <c r="AK34" s="3">
        <v>1</v>
      </c>
      <c r="AL34" s="43">
        <f t="shared" si="46"/>
        <v>5</v>
      </c>
      <c r="AM34" s="3">
        <v>0</v>
      </c>
      <c r="AN34" s="3">
        <v>0</v>
      </c>
      <c r="AO34" s="3">
        <v>1</v>
      </c>
      <c r="AP34" s="3">
        <v>0</v>
      </c>
      <c r="AQ34" s="3">
        <v>1</v>
      </c>
      <c r="AR34" s="3">
        <v>0</v>
      </c>
      <c r="AS34" s="3">
        <v>1</v>
      </c>
      <c r="AT34" s="3">
        <v>1</v>
      </c>
      <c r="AU34" s="40">
        <f t="shared" si="4"/>
        <v>4</v>
      </c>
      <c r="AV34" s="3">
        <v>1</v>
      </c>
      <c r="AW34" s="3">
        <v>1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43">
        <f t="shared" si="5"/>
        <v>7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3">
        <v>1</v>
      </c>
      <c r="BM34" s="3">
        <v>1</v>
      </c>
      <c r="BN34" s="43">
        <f t="shared" si="6"/>
        <v>10</v>
      </c>
      <c r="BQ34" s="22">
        <f t="shared" si="7"/>
        <v>50</v>
      </c>
      <c r="BR34" s="22">
        <f t="shared" si="8"/>
        <v>89.285714285714292</v>
      </c>
    </row>
    <row r="35" spans="1:70" ht="18" x14ac:dyDescent="0.35">
      <c r="A35" s="2">
        <v>30</v>
      </c>
      <c r="B35" s="16" t="s">
        <v>94</v>
      </c>
      <c r="C35" s="20" t="s">
        <v>95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9">
        <f t="shared" si="34"/>
        <v>9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9">
        <f t="shared" si="44"/>
        <v>8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9">
        <f t="shared" si="45"/>
        <v>7</v>
      </c>
      <c r="AE35" s="3">
        <v>1</v>
      </c>
      <c r="AF35" s="3">
        <v>1</v>
      </c>
      <c r="AG35" s="3">
        <v>1</v>
      </c>
      <c r="AH35" s="3">
        <v>1</v>
      </c>
      <c r="AI35" s="3">
        <v>0</v>
      </c>
      <c r="AJ35" s="3">
        <v>1</v>
      </c>
      <c r="AK35" s="3">
        <v>1</v>
      </c>
      <c r="AL35" s="43">
        <f t="shared" si="46"/>
        <v>6</v>
      </c>
      <c r="AM35" s="3">
        <v>1</v>
      </c>
      <c r="AN35" s="3">
        <v>0</v>
      </c>
      <c r="AO35" s="3">
        <v>0</v>
      </c>
      <c r="AP35" s="3">
        <v>1</v>
      </c>
      <c r="AQ35" s="3">
        <v>0</v>
      </c>
      <c r="AR35" s="3">
        <v>1</v>
      </c>
      <c r="AS35" s="3">
        <v>0</v>
      </c>
      <c r="AT35" s="3">
        <v>1</v>
      </c>
      <c r="AU35" s="40">
        <f t="shared" si="4"/>
        <v>4</v>
      </c>
      <c r="AV35" s="3">
        <v>1</v>
      </c>
      <c r="AW35" s="3">
        <v>0</v>
      </c>
      <c r="AX35" s="3">
        <v>0</v>
      </c>
      <c r="AY35" s="3">
        <v>1</v>
      </c>
      <c r="AZ35" s="3">
        <v>0</v>
      </c>
      <c r="BA35" s="3">
        <v>1</v>
      </c>
      <c r="BB35" s="3">
        <v>1</v>
      </c>
      <c r="BC35" s="43">
        <f t="shared" si="5"/>
        <v>4</v>
      </c>
      <c r="BD35" s="3">
        <v>1</v>
      </c>
      <c r="BE35" s="3">
        <v>1</v>
      </c>
      <c r="BF35" s="3">
        <v>0</v>
      </c>
      <c r="BG35" s="3">
        <v>0</v>
      </c>
      <c r="BH35" s="3">
        <v>1</v>
      </c>
      <c r="BI35" s="3">
        <v>0</v>
      </c>
      <c r="BJ35" s="3">
        <v>0</v>
      </c>
      <c r="BK35" s="3">
        <v>1</v>
      </c>
      <c r="BL35" s="3">
        <v>0</v>
      </c>
      <c r="BM35" s="3">
        <v>1</v>
      </c>
      <c r="BN35" s="43">
        <f t="shared" si="6"/>
        <v>5</v>
      </c>
      <c r="BQ35" s="22">
        <f t="shared" si="7"/>
        <v>43</v>
      </c>
      <c r="BR35" s="22">
        <f t="shared" si="8"/>
        <v>76.785714285714292</v>
      </c>
    </row>
    <row r="36" spans="1:70" ht="18" x14ac:dyDescent="0.35">
      <c r="A36" s="2">
        <v>31</v>
      </c>
      <c r="B36" s="16" t="s">
        <v>96</v>
      </c>
      <c r="C36" s="20" t="s">
        <v>97</v>
      </c>
      <c r="D36" s="3">
        <v>1</v>
      </c>
      <c r="E36" s="3">
        <v>1</v>
      </c>
      <c r="F36" s="3">
        <v>0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9">
        <f t="shared" si="34"/>
        <v>8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1</v>
      </c>
      <c r="T36" s="3">
        <v>1</v>
      </c>
      <c r="U36" s="3">
        <v>1</v>
      </c>
      <c r="V36" s="39">
        <f t="shared" ref="V36:V37" si="47">SUM(N36:U36)</f>
        <v>7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9">
        <f t="shared" ref="AD36:AD37" si="48">SUM(W36:AC36)</f>
        <v>7</v>
      </c>
      <c r="AE36" s="3">
        <v>1</v>
      </c>
      <c r="AF36" s="3">
        <v>1</v>
      </c>
      <c r="AG36" s="3">
        <v>1</v>
      </c>
      <c r="AH36" s="3">
        <v>1</v>
      </c>
      <c r="AI36" s="3">
        <v>1</v>
      </c>
      <c r="AJ36" s="3">
        <v>1</v>
      </c>
      <c r="AK36" s="3">
        <v>0</v>
      </c>
      <c r="AL36" s="43">
        <f t="shared" ref="AL36:AL37" si="49">SUM(AE36:AK36)</f>
        <v>6</v>
      </c>
      <c r="AM36" s="3">
        <v>0</v>
      </c>
      <c r="AN36" s="3">
        <v>0</v>
      </c>
      <c r="AO36" s="3">
        <v>1</v>
      </c>
      <c r="AP36" s="3">
        <v>0</v>
      </c>
      <c r="AQ36" s="3">
        <v>1</v>
      </c>
      <c r="AR36" s="3">
        <v>0</v>
      </c>
      <c r="AS36" s="3">
        <v>1</v>
      </c>
      <c r="AT36" s="3">
        <v>1</v>
      </c>
      <c r="AU36" s="40">
        <f t="shared" si="4"/>
        <v>4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43">
        <f t="shared" si="5"/>
        <v>7</v>
      </c>
      <c r="BD36" s="3">
        <v>1</v>
      </c>
      <c r="BE36" s="3">
        <v>1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3">
        <v>1</v>
      </c>
      <c r="BN36" s="43">
        <f t="shared" si="6"/>
        <v>10</v>
      </c>
      <c r="BQ36" s="22">
        <f t="shared" si="7"/>
        <v>49</v>
      </c>
      <c r="BR36" s="22">
        <f t="shared" si="8"/>
        <v>87.5</v>
      </c>
    </row>
    <row r="37" spans="1:70" ht="18" x14ac:dyDescent="0.35">
      <c r="A37" s="2">
        <v>32</v>
      </c>
      <c r="B37" s="16" t="s">
        <v>98</v>
      </c>
      <c r="C37" s="20" t="s">
        <v>99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9">
        <f t="shared" si="34"/>
        <v>9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9">
        <f t="shared" si="47"/>
        <v>8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9">
        <f t="shared" si="48"/>
        <v>7</v>
      </c>
      <c r="AE37" s="3">
        <v>1</v>
      </c>
      <c r="AF37" s="3">
        <v>1</v>
      </c>
      <c r="AG37" s="3">
        <v>1</v>
      </c>
      <c r="AH37" s="3">
        <v>1</v>
      </c>
      <c r="AI37" s="3">
        <v>0</v>
      </c>
      <c r="AJ37" s="3">
        <v>1</v>
      </c>
      <c r="AK37" s="3">
        <v>1</v>
      </c>
      <c r="AL37" s="43">
        <f t="shared" si="49"/>
        <v>6</v>
      </c>
      <c r="AM37" s="3">
        <v>1</v>
      </c>
      <c r="AN37" s="3">
        <v>0</v>
      </c>
      <c r="AO37" s="3">
        <v>0</v>
      </c>
      <c r="AP37" s="3">
        <v>1</v>
      </c>
      <c r="AQ37" s="3">
        <v>0</v>
      </c>
      <c r="AR37" s="3">
        <v>1</v>
      </c>
      <c r="AS37" s="3">
        <v>0</v>
      </c>
      <c r="AT37" s="3">
        <v>1</v>
      </c>
      <c r="AU37" s="40">
        <f t="shared" ref="AU37:AU68" si="50">SUM(AM37:AT37)</f>
        <v>4</v>
      </c>
      <c r="AV37" s="3">
        <v>1</v>
      </c>
      <c r="AW37" s="3">
        <v>1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43">
        <f t="shared" ref="BC37:BC68" si="51">SUM(AV37:BB37)</f>
        <v>7</v>
      </c>
      <c r="BD37" s="3">
        <v>1</v>
      </c>
      <c r="BE37" s="3">
        <v>1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L37" s="3">
        <v>1</v>
      </c>
      <c r="BM37" s="3">
        <v>1</v>
      </c>
      <c r="BN37" s="43">
        <f t="shared" ref="BN37:BN68" si="52">SUM(BD37:BM37)</f>
        <v>10</v>
      </c>
      <c r="BQ37" s="22">
        <f t="shared" si="7"/>
        <v>51</v>
      </c>
      <c r="BR37" s="22">
        <f t="shared" si="8"/>
        <v>91.071428571428569</v>
      </c>
    </row>
    <row r="38" spans="1:70" ht="18" x14ac:dyDescent="0.35">
      <c r="A38" s="2">
        <v>33</v>
      </c>
      <c r="B38" s="16" t="s">
        <v>100</v>
      </c>
      <c r="C38" s="20" t="s">
        <v>101</v>
      </c>
      <c r="D38" s="3">
        <v>0</v>
      </c>
      <c r="E38" s="3">
        <v>1</v>
      </c>
      <c r="F38" s="3">
        <v>1</v>
      </c>
      <c r="G38" s="3">
        <v>1</v>
      </c>
      <c r="H38" s="3">
        <v>0</v>
      </c>
      <c r="I38" s="3">
        <v>1</v>
      </c>
      <c r="J38" s="3">
        <v>1</v>
      </c>
      <c r="K38" s="3">
        <v>1</v>
      </c>
      <c r="L38" s="3">
        <v>1</v>
      </c>
      <c r="M38" s="39">
        <f t="shared" si="34"/>
        <v>7</v>
      </c>
      <c r="N38" s="3">
        <v>0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0</v>
      </c>
      <c r="V38" s="39">
        <f t="shared" ref="V38:V69" si="53">SUM(N38:U38)</f>
        <v>6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9">
        <f t="shared" ref="AD38:AD69" si="54">SUM(W38:AC38)</f>
        <v>7</v>
      </c>
      <c r="AE38" s="3">
        <v>1</v>
      </c>
      <c r="AF38" s="3">
        <v>1</v>
      </c>
      <c r="AG38" s="3">
        <v>1</v>
      </c>
      <c r="AH38" s="3">
        <v>1</v>
      </c>
      <c r="AI38" s="3">
        <v>1</v>
      </c>
      <c r="AJ38" s="3">
        <v>1</v>
      </c>
      <c r="AK38" s="3">
        <v>1</v>
      </c>
      <c r="AL38" s="43">
        <f t="shared" ref="AL38:AL69" si="55">SUM(AE38:AK38)</f>
        <v>7</v>
      </c>
      <c r="AM38" s="3">
        <v>1</v>
      </c>
      <c r="AN38" s="3">
        <v>1</v>
      </c>
      <c r="AO38" s="3">
        <v>1</v>
      </c>
      <c r="AP38" s="3">
        <v>1</v>
      </c>
      <c r="AQ38" s="3">
        <v>1</v>
      </c>
      <c r="AR38" s="3">
        <v>1</v>
      </c>
      <c r="AS38" s="3">
        <v>1</v>
      </c>
      <c r="AT38" s="3">
        <v>1</v>
      </c>
      <c r="AU38" s="40">
        <f t="shared" si="50"/>
        <v>8</v>
      </c>
      <c r="AV38" s="3">
        <v>1</v>
      </c>
      <c r="AW38" s="3">
        <v>0</v>
      </c>
      <c r="AX38" s="3">
        <v>1</v>
      </c>
      <c r="AY38" s="3">
        <v>0</v>
      </c>
      <c r="AZ38" s="3">
        <v>0</v>
      </c>
      <c r="BA38" s="3">
        <v>1</v>
      </c>
      <c r="BB38" s="3">
        <v>0</v>
      </c>
      <c r="BC38" s="43">
        <f t="shared" si="51"/>
        <v>3</v>
      </c>
      <c r="BD38" s="3">
        <v>1</v>
      </c>
      <c r="BE38" s="3">
        <v>1</v>
      </c>
      <c r="BF38" s="3">
        <v>1</v>
      </c>
      <c r="BG38" s="3">
        <v>1</v>
      </c>
      <c r="BH38" s="3">
        <v>1</v>
      </c>
      <c r="BI38" s="3">
        <v>1</v>
      </c>
      <c r="BJ38" s="3">
        <v>1</v>
      </c>
      <c r="BK38" s="3">
        <v>1</v>
      </c>
      <c r="BL38" s="3">
        <v>1</v>
      </c>
      <c r="BM38" s="3">
        <v>1</v>
      </c>
      <c r="BN38" s="43">
        <f t="shared" si="52"/>
        <v>10</v>
      </c>
      <c r="BQ38" s="22">
        <f t="shared" si="7"/>
        <v>48</v>
      </c>
      <c r="BR38" s="22">
        <f t="shared" si="8"/>
        <v>85.714285714285708</v>
      </c>
    </row>
    <row r="39" spans="1:70" ht="18" x14ac:dyDescent="0.35">
      <c r="A39" s="2">
        <v>34</v>
      </c>
      <c r="B39" s="16" t="s">
        <v>102</v>
      </c>
      <c r="C39" s="20" t="s">
        <v>103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9">
        <f t="shared" si="34"/>
        <v>9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9">
        <f t="shared" si="53"/>
        <v>8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9">
        <f t="shared" si="54"/>
        <v>7</v>
      </c>
      <c r="AE39" s="3">
        <v>0</v>
      </c>
      <c r="AF39" s="3">
        <v>1</v>
      </c>
      <c r="AG39" s="3">
        <v>0</v>
      </c>
      <c r="AH39" s="3">
        <v>1</v>
      </c>
      <c r="AI39" s="3">
        <v>1</v>
      </c>
      <c r="AJ39" s="3">
        <v>1</v>
      </c>
      <c r="AK39" s="3">
        <v>1</v>
      </c>
      <c r="AL39" s="43">
        <f t="shared" si="55"/>
        <v>5</v>
      </c>
      <c r="AM39" s="3">
        <v>1</v>
      </c>
      <c r="AN39" s="3">
        <v>0</v>
      </c>
      <c r="AO39" s="3">
        <v>0</v>
      </c>
      <c r="AP39" s="3">
        <v>1</v>
      </c>
      <c r="AQ39" s="3">
        <v>0</v>
      </c>
      <c r="AR39" s="3">
        <v>1</v>
      </c>
      <c r="AS39" s="3">
        <v>0</v>
      </c>
      <c r="AT39" s="3">
        <v>1</v>
      </c>
      <c r="AU39" s="40">
        <f t="shared" si="50"/>
        <v>4</v>
      </c>
      <c r="AV39" s="3">
        <v>1</v>
      </c>
      <c r="AW39" s="3">
        <v>1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43">
        <f t="shared" si="51"/>
        <v>7</v>
      </c>
      <c r="BD39" s="3">
        <v>1</v>
      </c>
      <c r="BE39" s="3">
        <v>1</v>
      </c>
      <c r="BF39" s="3">
        <v>1</v>
      </c>
      <c r="BG39" s="3">
        <v>1</v>
      </c>
      <c r="BH39" s="3">
        <v>1</v>
      </c>
      <c r="BI39" s="3">
        <v>1</v>
      </c>
      <c r="BJ39" s="3">
        <v>1</v>
      </c>
      <c r="BK39" s="3">
        <v>1</v>
      </c>
      <c r="BL39" s="3">
        <v>1</v>
      </c>
      <c r="BM39" s="3">
        <v>1</v>
      </c>
      <c r="BN39" s="43">
        <f t="shared" si="52"/>
        <v>10</v>
      </c>
      <c r="BQ39" s="22">
        <f t="shared" si="7"/>
        <v>50</v>
      </c>
      <c r="BR39" s="22">
        <f t="shared" si="8"/>
        <v>89.285714285714292</v>
      </c>
    </row>
    <row r="40" spans="1:70" ht="18" x14ac:dyDescent="0.35">
      <c r="A40" s="2">
        <v>35</v>
      </c>
      <c r="B40" s="16" t="s">
        <v>104</v>
      </c>
      <c r="C40" s="20" t="s">
        <v>105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9">
        <f t="shared" ref="M40:M41" si="56">SUM(D40:L40)</f>
        <v>9</v>
      </c>
      <c r="N40" s="3">
        <v>1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9">
        <f t="shared" si="53"/>
        <v>8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9">
        <f t="shared" si="54"/>
        <v>7</v>
      </c>
      <c r="AE40" s="3">
        <v>1</v>
      </c>
      <c r="AF40" s="3">
        <v>1</v>
      </c>
      <c r="AG40" s="3">
        <v>1</v>
      </c>
      <c r="AH40" s="3">
        <v>1</v>
      </c>
      <c r="AI40" s="3">
        <v>0</v>
      </c>
      <c r="AJ40" s="3">
        <v>1</v>
      </c>
      <c r="AK40" s="3">
        <v>1</v>
      </c>
      <c r="AL40" s="43">
        <f t="shared" si="55"/>
        <v>6</v>
      </c>
      <c r="AM40" s="3">
        <v>0</v>
      </c>
      <c r="AN40" s="3">
        <v>0</v>
      </c>
      <c r="AO40" s="3">
        <v>1</v>
      </c>
      <c r="AP40" s="3">
        <v>0</v>
      </c>
      <c r="AQ40" s="3">
        <v>1</v>
      </c>
      <c r="AR40" s="3">
        <v>0</v>
      </c>
      <c r="AS40" s="3">
        <v>1</v>
      </c>
      <c r="AT40" s="3">
        <v>1</v>
      </c>
      <c r="AU40" s="40">
        <f t="shared" si="50"/>
        <v>4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1</v>
      </c>
      <c r="BC40" s="43">
        <f t="shared" si="51"/>
        <v>7</v>
      </c>
      <c r="BD40" s="3">
        <v>1</v>
      </c>
      <c r="BE40" s="3">
        <v>1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L40" s="3">
        <v>1</v>
      </c>
      <c r="BM40" s="3">
        <v>1</v>
      </c>
      <c r="BN40" s="43">
        <f t="shared" si="52"/>
        <v>10</v>
      </c>
      <c r="BQ40" s="22">
        <f t="shared" si="7"/>
        <v>51</v>
      </c>
      <c r="BR40" s="22">
        <f t="shared" si="8"/>
        <v>91.071428571428569</v>
      </c>
    </row>
    <row r="41" spans="1:70" ht="18" x14ac:dyDescent="0.35">
      <c r="A41" s="2">
        <v>36</v>
      </c>
      <c r="B41" s="16" t="s">
        <v>106</v>
      </c>
      <c r="C41" s="20" t="s">
        <v>107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9">
        <f t="shared" si="56"/>
        <v>9</v>
      </c>
      <c r="N41" s="3">
        <v>1</v>
      </c>
      <c r="O41" s="3">
        <v>1</v>
      </c>
      <c r="P41" s="3">
        <v>1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9">
        <f t="shared" si="53"/>
        <v>8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9">
        <f t="shared" si="54"/>
        <v>7</v>
      </c>
      <c r="AE41" s="3">
        <v>1</v>
      </c>
      <c r="AF41" s="3">
        <v>1</v>
      </c>
      <c r="AG41" s="3">
        <v>1</v>
      </c>
      <c r="AH41" s="3">
        <v>1</v>
      </c>
      <c r="AI41" s="3">
        <v>0</v>
      </c>
      <c r="AJ41" s="3">
        <v>1</v>
      </c>
      <c r="AK41" s="3">
        <v>1</v>
      </c>
      <c r="AL41" s="43">
        <f t="shared" si="55"/>
        <v>6</v>
      </c>
      <c r="AM41" s="3">
        <v>1</v>
      </c>
      <c r="AN41" s="3">
        <v>0</v>
      </c>
      <c r="AO41" s="3">
        <v>0</v>
      </c>
      <c r="AP41" s="3">
        <v>1</v>
      </c>
      <c r="AQ41" s="3">
        <v>0</v>
      </c>
      <c r="AR41" s="3">
        <v>1</v>
      </c>
      <c r="AS41" s="3">
        <v>0</v>
      </c>
      <c r="AT41" s="3">
        <v>1</v>
      </c>
      <c r="AU41" s="40">
        <f t="shared" si="50"/>
        <v>4</v>
      </c>
      <c r="AV41" s="3">
        <v>1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43">
        <f t="shared" si="51"/>
        <v>7</v>
      </c>
      <c r="BD41" s="3">
        <v>1</v>
      </c>
      <c r="BE41" s="3">
        <v>1</v>
      </c>
      <c r="BF41" s="3">
        <v>1</v>
      </c>
      <c r="BG41" s="3">
        <v>1</v>
      </c>
      <c r="BH41" s="3">
        <v>1</v>
      </c>
      <c r="BI41" s="3">
        <v>1</v>
      </c>
      <c r="BJ41" s="3">
        <v>1</v>
      </c>
      <c r="BK41" s="3">
        <v>1</v>
      </c>
      <c r="BL41" s="3">
        <v>1</v>
      </c>
      <c r="BM41" s="3">
        <v>1</v>
      </c>
      <c r="BN41" s="43">
        <f t="shared" si="52"/>
        <v>10</v>
      </c>
      <c r="BQ41" s="22">
        <f t="shared" si="7"/>
        <v>51</v>
      </c>
      <c r="BR41" s="22">
        <f t="shared" si="8"/>
        <v>91.071428571428569</v>
      </c>
    </row>
    <row r="42" spans="1:70" ht="18" x14ac:dyDescent="0.35">
      <c r="A42" s="2">
        <v>37</v>
      </c>
      <c r="B42" s="16" t="s">
        <v>108</v>
      </c>
      <c r="C42" s="20" t="s">
        <v>109</v>
      </c>
      <c r="D42" s="3">
        <v>0</v>
      </c>
      <c r="E42" s="3">
        <v>1</v>
      </c>
      <c r="F42" s="3">
        <v>1</v>
      </c>
      <c r="G42" s="3">
        <v>1</v>
      </c>
      <c r="H42" s="3">
        <v>0</v>
      </c>
      <c r="I42" s="3">
        <v>1</v>
      </c>
      <c r="J42" s="3">
        <v>1</v>
      </c>
      <c r="K42" s="3">
        <v>1</v>
      </c>
      <c r="L42" s="3">
        <v>1</v>
      </c>
      <c r="M42" s="39">
        <f t="shared" ref="M42:M54" si="57">SUM(D42:L42)</f>
        <v>7</v>
      </c>
      <c r="N42" s="3">
        <v>0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0</v>
      </c>
      <c r="V42" s="39">
        <f t="shared" si="53"/>
        <v>6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9">
        <f t="shared" si="54"/>
        <v>7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43">
        <f t="shared" si="55"/>
        <v>7</v>
      </c>
      <c r="AM42" s="3">
        <v>1</v>
      </c>
      <c r="AN42" s="3">
        <v>1</v>
      </c>
      <c r="AO42" s="3">
        <v>1</v>
      </c>
      <c r="AP42" s="3">
        <v>1</v>
      </c>
      <c r="AQ42" s="3">
        <v>1</v>
      </c>
      <c r="AR42" s="3">
        <v>1</v>
      </c>
      <c r="AS42" s="3">
        <v>1</v>
      </c>
      <c r="AT42" s="3">
        <v>1</v>
      </c>
      <c r="AU42" s="40">
        <f t="shared" si="50"/>
        <v>8</v>
      </c>
      <c r="AV42" s="3">
        <v>0</v>
      </c>
      <c r="AW42" s="3">
        <v>1</v>
      </c>
      <c r="AX42" s="3">
        <v>0</v>
      </c>
      <c r="AY42" s="3">
        <v>0</v>
      </c>
      <c r="AZ42" s="3">
        <v>1</v>
      </c>
      <c r="BA42" s="3">
        <v>0</v>
      </c>
      <c r="BB42" s="3">
        <v>1</v>
      </c>
      <c r="BC42" s="43">
        <f t="shared" si="51"/>
        <v>3</v>
      </c>
      <c r="BD42" s="3">
        <v>1</v>
      </c>
      <c r="BE42" s="3">
        <v>1</v>
      </c>
      <c r="BF42" s="3">
        <v>1</v>
      </c>
      <c r="BG42" s="3">
        <v>1</v>
      </c>
      <c r="BH42" s="3">
        <v>1</v>
      </c>
      <c r="BI42" s="3">
        <v>1</v>
      </c>
      <c r="BJ42" s="3">
        <v>1</v>
      </c>
      <c r="BK42" s="3">
        <v>1</v>
      </c>
      <c r="BL42" s="3">
        <v>1</v>
      </c>
      <c r="BM42" s="3">
        <v>1</v>
      </c>
      <c r="BN42" s="43">
        <f t="shared" si="52"/>
        <v>10</v>
      </c>
      <c r="BQ42" s="22">
        <f t="shared" si="7"/>
        <v>48</v>
      </c>
      <c r="BR42" s="22">
        <f t="shared" si="8"/>
        <v>85.714285714285708</v>
      </c>
    </row>
    <row r="43" spans="1:70" ht="18" x14ac:dyDescent="0.35">
      <c r="A43" s="2">
        <v>38</v>
      </c>
      <c r="B43" s="16" t="s">
        <v>110</v>
      </c>
      <c r="C43" s="20" t="s">
        <v>111</v>
      </c>
      <c r="D43" s="3">
        <v>1</v>
      </c>
      <c r="E43" s="3">
        <v>1</v>
      </c>
      <c r="F43" s="3">
        <v>0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9">
        <f t="shared" si="57"/>
        <v>8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1</v>
      </c>
      <c r="T43" s="3">
        <v>1</v>
      </c>
      <c r="U43" s="3">
        <v>1</v>
      </c>
      <c r="V43" s="39">
        <f t="shared" si="53"/>
        <v>7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9">
        <f t="shared" si="54"/>
        <v>7</v>
      </c>
      <c r="AE43" s="3">
        <v>1</v>
      </c>
      <c r="AF43" s="3">
        <v>1</v>
      </c>
      <c r="AG43" s="3">
        <v>1</v>
      </c>
      <c r="AH43" s="3">
        <v>1</v>
      </c>
      <c r="AI43" s="3">
        <v>1</v>
      </c>
      <c r="AJ43" s="3">
        <v>1</v>
      </c>
      <c r="AK43" s="3">
        <v>0</v>
      </c>
      <c r="AL43" s="43">
        <f t="shared" si="55"/>
        <v>6</v>
      </c>
      <c r="AM43" s="3">
        <v>1</v>
      </c>
      <c r="AN43" s="3">
        <v>1</v>
      </c>
      <c r="AO43" s="3">
        <v>0</v>
      </c>
      <c r="AP43" s="3">
        <v>0</v>
      </c>
      <c r="AQ43" s="3">
        <v>1</v>
      </c>
      <c r="AR43" s="3">
        <v>0</v>
      </c>
      <c r="AS43" s="3">
        <v>1</v>
      </c>
      <c r="AT43" s="3">
        <v>0</v>
      </c>
      <c r="AU43" s="40">
        <f t="shared" si="50"/>
        <v>4</v>
      </c>
      <c r="AV43" s="3">
        <v>1</v>
      </c>
      <c r="AW43" s="3">
        <v>1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 s="43">
        <f t="shared" si="51"/>
        <v>7</v>
      </c>
      <c r="BD43" s="3">
        <v>1</v>
      </c>
      <c r="BE43" s="3">
        <v>1</v>
      </c>
      <c r="BF43" s="3">
        <v>1</v>
      </c>
      <c r="BG43" s="3">
        <v>1</v>
      </c>
      <c r="BH43" s="3">
        <v>1</v>
      </c>
      <c r="BI43" s="3">
        <v>1</v>
      </c>
      <c r="BJ43" s="3">
        <v>1</v>
      </c>
      <c r="BK43" s="3">
        <v>1</v>
      </c>
      <c r="BL43" s="3">
        <v>1</v>
      </c>
      <c r="BM43" s="3">
        <v>1</v>
      </c>
      <c r="BN43" s="43">
        <f t="shared" si="52"/>
        <v>10</v>
      </c>
      <c r="BQ43" s="22">
        <f t="shared" si="7"/>
        <v>49</v>
      </c>
      <c r="BR43" s="22">
        <f t="shared" si="8"/>
        <v>87.5</v>
      </c>
    </row>
    <row r="44" spans="1:70" ht="18" x14ac:dyDescent="0.35">
      <c r="A44" s="2">
        <v>39</v>
      </c>
      <c r="B44" s="16" t="s">
        <v>112</v>
      </c>
      <c r="C44" s="20" t="s">
        <v>113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9">
        <f t="shared" si="57"/>
        <v>9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9">
        <f t="shared" si="53"/>
        <v>8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9">
        <f t="shared" si="54"/>
        <v>7</v>
      </c>
      <c r="AE44" s="3">
        <v>0</v>
      </c>
      <c r="AF44" s="3">
        <v>1</v>
      </c>
      <c r="AG44" s="3">
        <v>0</v>
      </c>
      <c r="AH44" s="3">
        <v>1</v>
      </c>
      <c r="AI44" s="3">
        <v>1</v>
      </c>
      <c r="AJ44" s="3">
        <v>1</v>
      </c>
      <c r="AK44" s="3">
        <v>1</v>
      </c>
      <c r="AL44" s="43">
        <f t="shared" si="55"/>
        <v>5</v>
      </c>
      <c r="AM44" s="3">
        <v>0</v>
      </c>
      <c r="AN44" s="3">
        <v>0</v>
      </c>
      <c r="AO44" s="3">
        <v>1</v>
      </c>
      <c r="AP44" s="3">
        <v>0</v>
      </c>
      <c r="AQ44" s="3">
        <v>1</v>
      </c>
      <c r="AR44" s="3">
        <v>0</v>
      </c>
      <c r="AS44" s="3">
        <v>1</v>
      </c>
      <c r="AT44" s="3">
        <v>1</v>
      </c>
      <c r="AU44" s="40">
        <f t="shared" si="50"/>
        <v>4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43">
        <f t="shared" si="51"/>
        <v>7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3">
        <v>1</v>
      </c>
      <c r="BM44" s="3">
        <v>1</v>
      </c>
      <c r="BN44" s="43">
        <f t="shared" si="52"/>
        <v>10</v>
      </c>
      <c r="BQ44" s="22">
        <f t="shared" si="7"/>
        <v>50</v>
      </c>
      <c r="BR44" s="22">
        <f t="shared" si="8"/>
        <v>89.285714285714292</v>
      </c>
    </row>
    <row r="45" spans="1:70" ht="18" x14ac:dyDescent="0.35">
      <c r="A45" s="2">
        <v>40</v>
      </c>
      <c r="B45" s="16" t="s">
        <v>114</v>
      </c>
      <c r="C45" s="20" t="s">
        <v>115</v>
      </c>
      <c r="D45" s="3">
        <v>0</v>
      </c>
      <c r="E45" s="3">
        <v>1</v>
      </c>
      <c r="F45" s="3">
        <v>1</v>
      </c>
      <c r="G45" s="3">
        <v>1</v>
      </c>
      <c r="H45" s="3">
        <v>0</v>
      </c>
      <c r="I45" s="3">
        <v>1</v>
      </c>
      <c r="J45" s="3">
        <v>1</v>
      </c>
      <c r="K45" s="3">
        <v>1</v>
      </c>
      <c r="L45" s="3">
        <v>1</v>
      </c>
      <c r="M45" s="39">
        <f t="shared" si="57"/>
        <v>7</v>
      </c>
      <c r="N45" s="3">
        <v>0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0</v>
      </c>
      <c r="V45" s="39">
        <f t="shared" si="53"/>
        <v>6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9">
        <f t="shared" si="54"/>
        <v>7</v>
      </c>
      <c r="AE45" s="3">
        <v>1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  <c r="AK45" s="3">
        <v>1</v>
      </c>
      <c r="AL45" s="43">
        <f t="shared" si="55"/>
        <v>7</v>
      </c>
      <c r="AM45" s="3">
        <v>1</v>
      </c>
      <c r="AN45" s="3">
        <v>1</v>
      </c>
      <c r="AO45" s="3">
        <v>1</v>
      </c>
      <c r="AP45" s="3">
        <v>1</v>
      </c>
      <c r="AQ45" s="3">
        <v>1</v>
      </c>
      <c r="AR45" s="3">
        <v>1</v>
      </c>
      <c r="AS45" s="3">
        <v>1</v>
      </c>
      <c r="AT45" s="3">
        <v>1</v>
      </c>
      <c r="AU45" s="40">
        <f t="shared" si="50"/>
        <v>8</v>
      </c>
      <c r="AV45" s="3">
        <v>1</v>
      </c>
      <c r="AW45" s="3">
        <v>0</v>
      </c>
      <c r="AX45" s="3">
        <v>1</v>
      </c>
      <c r="AY45" s="3">
        <v>0</v>
      </c>
      <c r="AZ45" s="3">
        <v>0</v>
      </c>
      <c r="BA45" s="3">
        <v>1</v>
      </c>
      <c r="BB45" s="3">
        <v>0</v>
      </c>
      <c r="BC45" s="43">
        <f t="shared" si="51"/>
        <v>3</v>
      </c>
      <c r="BD45" s="3">
        <v>1</v>
      </c>
      <c r="BE45" s="3">
        <v>1</v>
      </c>
      <c r="BF45" s="3">
        <v>1</v>
      </c>
      <c r="BG45" s="3">
        <v>1</v>
      </c>
      <c r="BH45" s="3">
        <v>1</v>
      </c>
      <c r="BI45" s="3">
        <v>1</v>
      </c>
      <c r="BJ45" s="3">
        <v>1</v>
      </c>
      <c r="BK45" s="3">
        <v>1</v>
      </c>
      <c r="BL45" s="3">
        <v>1</v>
      </c>
      <c r="BM45" s="3">
        <v>1</v>
      </c>
      <c r="BN45" s="43">
        <f t="shared" si="52"/>
        <v>10</v>
      </c>
      <c r="BQ45" s="22">
        <f t="shared" si="7"/>
        <v>48</v>
      </c>
      <c r="BR45" s="22">
        <f t="shared" si="8"/>
        <v>85.714285714285708</v>
      </c>
    </row>
    <row r="46" spans="1:70" ht="18" x14ac:dyDescent="0.35">
      <c r="A46" s="2">
        <v>41</v>
      </c>
      <c r="B46" s="16" t="s">
        <v>116</v>
      </c>
      <c r="C46" s="20" t="s">
        <v>117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9">
        <f t="shared" si="57"/>
        <v>9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9">
        <f t="shared" si="53"/>
        <v>8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9">
        <f t="shared" si="54"/>
        <v>7</v>
      </c>
      <c r="AE46" s="3">
        <v>1</v>
      </c>
      <c r="AF46" s="3">
        <v>1</v>
      </c>
      <c r="AG46" s="3">
        <v>1</v>
      </c>
      <c r="AH46" s="3">
        <v>1</v>
      </c>
      <c r="AI46" s="3">
        <v>0</v>
      </c>
      <c r="AJ46" s="3">
        <v>1</v>
      </c>
      <c r="AK46" s="3">
        <v>1</v>
      </c>
      <c r="AL46" s="43">
        <f t="shared" si="55"/>
        <v>6</v>
      </c>
      <c r="AM46" s="3">
        <v>1</v>
      </c>
      <c r="AN46" s="3">
        <v>0</v>
      </c>
      <c r="AO46" s="3">
        <v>0</v>
      </c>
      <c r="AP46" s="3">
        <v>1</v>
      </c>
      <c r="AQ46" s="3">
        <v>0</v>
      </c>
      <c r="AR46" s="3">
        <v>1</v>
      </c>
      <c r="AS46" s="3">
        <v>0</v>
      </c>
      <c r="AT46" s="3">
        <v>1</v>
      </c>
      <c r="AU46" s="40">
        <f t="shared" si="50"/>
        <v>4</v>
      </c>
      <c r="AV46" s="3">
        <v>1</v>
      </c>
      <c r="AW46" s="3">
        <v>0</v>
      </c>
      <c r="AX46" s="3">
        <v>0</v>
      </c>
      <c r="AY46" s="3">
        <v>1</v>
      </c>
      <c r="AZ46" s="3">
        <v>1</v>
      </c>
      <c r="BA46" s="3">
        <v>1</v>
      </c>
      <c r="BB46" s="3">
        <v>1</v>
      </c>
      <c r="BC46" s="43">
        <f t="shared" si="51"/>
        <v>5</v>
      </c>
      <c r="BD46" s="3">
        <v>0</v>
      </c>
      <c r="BE46" s="3">
        <v>0</v>
      </c>
      <c r="BF46" s="3">
        <v>1</v>
      </c>
      <c r="BG46" s="3">
        <v>0</v>
      </c>
      <c r="BH46" s="3">
        <v>0</v>
      </c>
      <c r="BI46" s="3">
        <v>1</v>
      </c>
      <c r="BJ46" s="3">
        <v>0</v>
      </c>
      <c r="BK46" s="3">
        <v>1</v>
      </c>
      <c r="BL46" s="3">
        <v>1</v>
      </c>
      <c r="BM46" s="3">
        <v>1</v>
      </c>
      <c r="BN46" s="43">
        <f t="shared" si="52"/>
        <v>5</v>
      </c>
      <c r="BQ46" s="22">
        <f t="shared" si="7"/>
        <v>44</v>
      </c>
      <c r="BR46" s="22">
        <f t="shared" si="8"/>
        <v>78.571428571428569</v>
      </c>
    </row>
    <row r="47" spans="1:70" ht="18" x14ac:dyDescent="0.35">
      <c r="A47" s="2">
        <v>42</v>
      </c>
      <c r="B47" s="16" t="s">
        <v>118</v>
      </c>
      <c r="C47" s="20" t="s">
        <v>119</v>
      </c>
      <c r="D47" s="3">
        <v>1</v>
      </c>
      <c r="E47" s="3">
        <v>1</v>
      </c>
      <c r="F47" s="3">
        <v>0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9">
        <f t="shared" si="57"/>
        <v>8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1</v>
      </c>
      <c r="T47" s="3">
        <v>1</v>
      </c>
      <c r="U47" s="3">
        <v>1</v>
      </c>
      <c r="V47" s="39">
        <f t="shared" si="53"/>
        <v>7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9">
        <f t="shared" si="54"/>
        <v>7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0</v>
      </c>
      <c r="AL47" s="43">
        <f t="shared" si="55"/>
        <v>6</v>
      </c>
      <c r="AM47" s="3">
        <v>1</v>
      </c>
      <c r="AN47" s="3">
        <v>1</v>
      </c>
      <c r="AO47" s="3">
        <v>0</v>
      </c>
      <c r="AP47" s="3">
        <v>0</v>
      </c>
      <c r="AQ47" s="3">
        <v>1</v>
      </c>
      <c r="AR47" s="3">
        <v>0</v>
      </c>
      <c r="AS47" s="3">
        <v>1</v>
      </c>
      <c r="AT47" s="3">
        <v>0</v>
      </c>
      <c r="AU47" s="40">
        <f t="shared" si="50"/>
        <v>4</v>
      </c>
      <c r="AV47" s="3">
        <v>1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43">
        <f t="shared" si="51"/>
        <v>7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1</v>
      </c>
      <c r="BK47" s="3">
        <v>1</v>
      </c>
      <c r="BL47" s="3">
        <v>1</v>
      </c>
      <c r="BM47" s="3">
        <v>1</v>
      </c>
      <c r="BN47" s="43">
        <f t="shared" si="52"/>
        <v>10</v>
      </c>
      <c r="BQ47" s="22">
        <f t="shared" si="7"/>
        <v>49</v>
      </c>
      <c r="BR47" s="22">
        <f t="shared" si="8"/>
        <v>87.5</v>
      </c>
    </row>
    <row r="48" spans="1:70" ht="18" x14ac:dyDescent="0.35">
      <c r="A48" s="2">
        <v>43</v>
      </c>
      <c r="B48" s="16" t="s">
        <v>120</v>
      </c>
      <c r="C48" s="20" t="s">
        <v>121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9">
        <f t="shared" si="57"/>
        <v>9</v>
      </c>
      <c r="N48" s="3">
        <v>1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9">
        <f t="shared" si="53"/>
        <v>8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9">
        <f t="shared" si="54"/>
        <v>7</v>
      </c>
      <c r="AE48" s="3">
        <v>1</v>
      </c>
      <c r="AF48" s="3">
        <v>1</v>
      </c>
      <c r="AG48" s="3">
        <v>1</v>
      </c>
      <c r="AH48" s="3">
        <v>1</v>
      </c>
      <c r="AI48" s="3">
        <v>0</v>
      </c>
      <c r="AJ48" s="3">
        <v>1</v>
      </c>
      <c r="AK48" s="3">
        <v>1</v>
      </c>
      <c r="AL48" s="43">
        <f t="shared" si="55"/>
        <v>6</v>
      </c>
      <c r="AM48" s="3">
        <v>0</v>
      </c>
      <c r="AN48" s="3">
        <v>0</v>
      </c>
      <c r="AO48" s="3">
        <v>1</v>
      </c>
      <c r="AP48" s="3">
        <v>0</v>
      </c>
      <c r="AQ48" s="3">
        <v>1</v>
      </c>
      <c r="AR48" s="3">
        <v>0</v>
      </c>
      <c r="AS48" s="3">
        <v>1</v>
      </c>
      <c r="AT48" s="3">
        <v>1</v>
      </c>
      <c r="AU48" s="40">
        <f t="shared" si="50"/>
        <v>4</v>
      </c>
      <c r="AV48" s="3">
        <v>1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43">
        <f t="shared" si="51"/>
        <v>7</v>
      </c>
      <c r="BD48" s="3">
        <v>1</v>
      </c>
      <c r="BE48" s="3">
        <v>1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3">
        <v>1</v>
      </c>
      <c r="BN48" s="43">
        <f t="shared" si="52"/>
        <v>10</v>
      </c>
      <c r="BQ48" s="22">
        <f t="shared" si="7"/>
        <v>51</v>
      </c>
      <c r="BR48" s="22">
        <f t="shared" si="8"/>
        <v>91.071428571428569</v>
      </c>
    </row>
    <row r="49" spans="1:70" ht="18" x14ac:dyDescent="0.35">
      <c r="A49" s="2">
        <v>44</v>
      </c>
      <c r="B49" s="16" t="s">
        <v>122</v>
      </c>
      <c r="C49" s="20" t="s">
        <v>123</v>
      </c>
      <c r="D49" s="3">
        <v>0</v>
      </c>
      <c r="E49" s="3">
        <v>1</v>
      </c>
      <c r="F49" s="3">
        <v>1</v>
      </c>
      <c r="G49" s="3">
        <v>1</v>
      </c>
      <c r="H49" s="3">
        <v>0</v>
      </c>
      <c r="I49" s="3">
        <v>1</v>
      </c>
      <c r="J49" s="3">
        <v>1</v>
      </c>
      <c r="K49" s="3">
        <v>1</v>
      </c>
      <c r="L49" s="3">
        <v>1</v>
      </c>
      <c r="M49" s="39">
        <f t="shared" si="57"/>
        <v>7</v>
      </c>
      <c r="N49" s="3">
        <v>0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0</v>
      </c>
      <c r="V49" s="39">
        <f t="shared" si="53"/>
        <v>6</v>
      </c>
      <c r="W49" s="3">
        <v>1</v>
      </c>
      <c r="X49" s="3">
        <v>1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9">
        <f t="shared" si="54"/>
        <v>7</v>
      </c>
      <c r="AE49" s="3">
        <v>1</v>
      </c>
      <c r="AF49" s="3">
        <v>1</v>
      </c>
      <c r="AG49" s="3">
        <v>1</v>
      </c>
      <c r="AH49" s="3">
        <v>1</v>
      </c>
      <c r="AI49" s="3">
        <v>1</v>
      </c>
      <c r="AJ49" s="3">
        <v>1</v>
      </c>
      <c r="AK49" s="3">
        <v>1</v>
      </c>
      <c r="AL49" s="43">
        <f t="shared" si="55"/>
        <v>7</v>
      </c>
      <c r="AM49" s="3">
        <v>1</v>
      </c>
      <c r="AN49" s="3">
        <v>1</v>
      </c>
      <c r="AO49" s="3">
        <v>1</v>
      </c>
      <c r="AP49" s="3">
        <v>1</v>
      </c>
      <c r="AQ49" s="3">
        <v>1</v>
      </c>
      <c r="AR49" s="3">
        <v>1</v>
      </c>
      <c r="AS49" s="3">
        <v>1</v>
      </c>
      <c r="AT49" s="3">
        <v>1</v>
      </c>
      <c r="AU49" s="40">
        <f t="shared" si="50"/>
        <v>8</v>
      </c>
      <c r="AV49" s="3">
        <v>0</v>
      </c>
      <c r="AW49" s="3">
        <v>1</v>
      </c>
      <c r="AX49" s="3">
        <v>0</v>
      </c>
      <c r="AY49" s="3">
        <v>0</v>
      </c>
      <c r="AZ49" s="3">
        <v>1</v>
      </c>
      <c r="BA49" s="3">
        <v>0</v>
      </c>
      <c r="BB49" s="3">
        <v>1</v>
      </c>
      <c r="BC49" s="43">
        <f t="shared" si="51"/>
        <v>3</v>
      </c>
      <c r="BD49" s="3">
        <v>1</v>
      </c>
      <c r="BE49" s="3">
        <v>1</v>
      </c>
      <c r="BF49" s="3">
        <v>1</v>
      </c>
      <c r="BG49" s="3">
        <v>1</v>
      </c>
      <c r="BH49" s="3">
        <v>1</v>
      </c>
      <c r="BI49" s="3">
        <v>1</v>
      </c>
      <c r="BJ49" s="3">
        <v>1</v>
      </c>
      <c r="BK49" s="3">
        <v>1</v>
      </c>
      <c r="BL49" s="3">
        <v>1</v>
      </c>
      <c r="BM49" s="3">
        <v>1</v>
      </c>
      <c r="BN49" s="43">
        <f t="shared" si="52"/>
        <v>10</v>
      </c>
      <c r="BQ49" s="22">
        <f t="shared" si="7"/>
        <v>48</v>
      </c>
      <c r="BR49" s="22">
        <f t="shared" si="8"/>
        <v>85.714285714285708</v>
      </c>
    </row>
    <row r="50" spans="1:70" ht="18" x14ac:dyDescent="0.35">
      <c r="A50" s="2">
        <v>45</v>
      </c>
      <c r="B50" s="16" t="s">
        <v>124</v>
      </c>
      <c r="C50" s="20" t="s">
        <v>125</v>
      </c>
      <c r="D50" s="3">
        <v>1</v>
      </c>
      <c r="E50" s="3">
        <v>1</v>
      </c>
      <c r="F50" s="3">
        <v>0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9">
        <f t="shared" si="57"/>
        <v>8</v>
      </c>
      <c r="N50" s="3">
        <v>1</v>
      </c>
      <c r="O50" s="3">
        <v>1</v>
      </c>
      <c r="P50" s="3">
        <v>1</v>
      </c>
      <c r="Q50" s="3">
        <v>1</v>
      </c>
      <c r="R50" s="3">
        <v>0</v>
      </c>
      <c r="S50" s="3">
        <v>1</v>
      </c>
      <c r="T50" s="3">
        <v>1</v>
      </c>
      <c r="U50" s="3">
        <v>1</v>
      </c>
      <c r="V50" s="39">
        <f t="shared" si="53"/>
        <v>7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9">
        <f t="shared" si="54"/>
        <v>7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0</v>
      </c>
      <c r="AL50" s="43">
        <f t="shared" si="55"/>
        <v>6</v>
      </c>
      <c r="AM50" s="3">
        <v>1</v>
      </c>
      <c r="AN50" s="3">
        <v>0</v>
      </c>
      <c r="AO50" s="3">
        <v>0</v>
      </c>
      <c r="AP50" s="3">
        <v>1</v>
      </c>
      <c r="AQ50" s="3">
        <v>0</v>
      </c>
      <c r="AR50" s="3">
        <v>1</v>
      </c>
      <c r="AS50" s="3">
        <v>0</v>
      </c>
      <c r="AT50" s="3">
        <v>1</v>
      </c>
      <c r="AU50" s="40">
        <f t="shared" si="50"/>
        <v>4</v>
      </c>
      <c r="AV50" s="3">
        <v>1</v>
      </c>
      <c r="AW50" s="3">
        <v>1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43">
        <f t="shared" si="51"/>
        <v>7</v>
      </c>
      <c r="BD50" s="3">
        <v>1</v>
      </c>
      <c r="BE50" s="3">
        <v>1</v>
      </c>
      <c r="BF50" s="3">
        <v>1</v>
      </c>
      <c r="BG50" s="3">
        <v>1</v>
      </c>
      <c r="BH50" s="3">
        <v>1</v>
      </c>
      <c r="BI50" s="3">
        <v>1</v>
      </c>
      <c r="BJ50" s="3">
        <v>1</v>
      </c>
      <c r="BK50" s="3">
        <v>1</v>
      </c>
      <c r="BL50" s="3">
        <v>1</v>
      </c>
      <c r="BM50" s="3">
        <v>1</v>
      </c>
      <c r="BN50" s="43">
        <f t="shared" si="52"/>
        <v>10</v>
      </c>
      <c r="BQ50" s="22">
        <f t="shared" si="7"/>
        <v>49</v>
      </c>
      <c r="BR50" s="22">
        <f t="shared" si="8"/>
        <v>87.5</v>
      </c>
    </row>
    <row r="51" spans="1:70" ht="18" x14ac:dyDescent="0.35">
      <c r="A51" s="2">
        <v>46</v>
      </c>
      <c r="B51" s="16" t="s">
        <v>126</v>
      </c>
      <c r="C51" s="20" t="s">
        <v>127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9">
        <f t="shared" si="57"/>
        <v>9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9">
        <f t="shared" si="53"/>
        <v>8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9">
        <f t="shared" si="54"/>
        <v>7</v>
      </c>
      <c r="AE51" s="3">
        <v>1</v>
      </c>
      <c r="AF51" s="3">
        <v>1</v>
      </c>
      <c r="AG51" s="3">
        <v>1</v>
      </c>
      <c r="AH51" s="3">
        <v>1</v>
      </c>
      <c r="AI51" s="3">
        <v>0</v>
      </c>
      <c r="AJ51" s="3">
        <v>1</v>
      </c>
      <c r="AK51" s="3">
        <v>1</v>
      </c>
      <c r="AL51" s="43">
        <f t="shared" si="55"/>
        <v>6</v>
      </c>
      <c r="AM51" s="3">
        <v>1</v>
      </c>
      <c r="AN51" s="3">
        <v>0</v>
      </c>
      <c r="AO51" s="3">
        <v>0</v>
      </c>
      <c r="AP51" s="3">
        <v>1</v>
      </c>
      <c r="AQ51" s="3">
        <v>0</v>
      </c>
      <c r="AR51" s="3">
        <v>1</v>
      </c>
      <c r="AS51" s="3">
        <v>0</v>
      </c>
      <c r="AT51" s="3">
        <v>1</v>
      </c>
      <c r="AU51" s="40">
        <f t="shared" si="50"/>
        <v>4</v>
      </c>
      <c r="AV51" s="3">
        <v>0</v>
      </c>
      <c r="AW51" s="3">
        <v>1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43">
        <f t="shared" si="51"/>
        <v>6</v>
      </c>
      <c r="BD51" s="3">
        <v>1</v>
      </c>
      <c r="BE51" s="3">
        <v>0</v>
      </c>
      <c r="BF51" s="3">
        <v>0</v>
      </c>
      <c r="BG51" s="3">
        <v>1</v>
      </c>
      <c r="BH51" s="3">
        <v>0</v>
      </c>
      <c r="BI51" s="3">
        <v>0</v>
      </c>
      <c r="BJ51" s="3">
        <v>1</v>
      </c>
      <c r="BK51" s="3">
        <v>0</v>
      </c>
      <c r="BL51" s="3">
        <v>1</v>
      </c>
      <c r="BM51" s="3">
        <v>1</v>
      </c>
      <c r="BN51" s="43">
        <f t="shared" si="52"/>
        <v>5</v>
      </c>
      <c r="BQ51" s="22">
        <f t="shared" si="7"/>
        <v>45</v>
      </c>
      <c r="BR51" s="22">
        <f t="shared" si="8"/>
        <v>80.357142857142861</v>
      </c>
    </row>
    <row r="52" spans="1:70" ht="18" x14ac:dyDescent="0.35">
      <c r="A52" s="2">
        <v>47</v>
      </c>
      <c r="B52" s="16" t="s">
        <v>128</v>
      </c>
      <c r="C52" s="20" t="s">
        <v>129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9">
        <f t="shared" si="57"/>
        <v>9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9">
        <f t="shared" si="53"/>
        <v>8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9">
        <f t="shared" si="54"/>
        <v>7</v>
      </c>
      <c r="AE52" s="3">
        <v>0</v>
      </c>
      <c r="AF52" s="3">
        <v>1</v>
      </c>
      <c r="AG52" s="3">
        <v>0</v>
      </c>
      <c r="AH52" s="3">
        <v>1</v>
      </c>
      <c r="AI52" s="3">
        <v>1</v>
      </c>
      <c r="AJ52" s="3">
        <v>1</v>
      </c>
      <c r="AK52" s="3">
        <v>1</v>
      </c>
      <c r="AL52" s="43">
        <f t="shared" si="55"/>
        <v>5</v>
      </c>
      <c r="AM52" s="3">
        <v>1</v>
      </c>
      <c r="AN52" s="3">
        <v>1</v>
      </c>
      <c r="AO52" s="3">
        <v>0</v>
      </c>
      <c r="AP52" s="3">
        <v>0</v>
      </c>
      <c r="AQ52" s="3">
        <v>1</v>
      </c>
      <c r="AR52" s="3">
        <v>0</v>
      </c>
      <c r="AS52" s="3">
        <v>1</v>
      </c>
      <c r="AT52" s="3">
        <v>0</v>
      </c>
      <c r="AU52" s="40">
        <f t="shared" si="50"/>
        <v>4</v>
      </c>
      <c r="AV52" s="3">
        <v>1</v>
      </c>
      <c r="AW52" s="3">
        <v>1</v>
      </c>
      <c r="AX52" s="3">
        <v>1</v>
      </c>
      <c r="AY52" s="3">
        <v>1</v>
      </c>
      <c r="AZ52" s="3">
        <v>1</v>
      </c>
      <c r="BA52" s="3">
        <v>1</v>
      </c>
      <c r="BB52" s="3">
        <v>1</v>
      </c>
      <c r="BC52" s="43">
        <f t="shared" si="51"/>
        <v>7</v>
      </c>
      <c r="BD52" s="3">
        <v>1</v>
      </c>
      <c r="BE52" s="3">
        <v>1</v>
      </c>
      <c r="BF52" s="3">
        <v>1</v>
      </c>
      <c r="BG52" s="3">
        <v>1</v>
      </c>
      <c r="BH52" s="3">
        <v>1</v>
      </c>
      <c r="BI52" s="3">
        <v>1</v>
      </c>
      <c r="BJ52" s="3">
        <v>1</v>
      </c>
      <c r="BK52" s="3">
        <v>1</v>
      </c>
      <c r="BL52" s="3">
        <v>1</v>
      </c>
      <c r="BM52" s="3">
        <v>1</v>
      </c>
      <c r="BN52" s="43">
        <f t="shared" si="52"/>
        <v>10</v>
      </c>
      <c r="BQ52" s="22">
        <f t="shared" si="7"/>
        <v>50</v>
      </c>
      <c r="BR52" s="22">
        <f t="shared" si="8"/>
        <v>89.285714285714292</v>
      </c>
    </row>
    <row r="53" spans="1:70" ht="18" x14ac:dyDescent="0.35">
      <c r="A53" s="2">
        <v>48</v>
      </c>
      <c r="B53" s="16" t="s">
        <v>130</v>
      </c>
      <c r="C53" s="20" t="s">
        <v>131</v>
      </c>
      <c r="D53" s="3">
        <v>0</v>
      </c>
      <c r="E53" s="3">
        <v>1</v>
      </c>
      <c r="F53" s="3">
        <v>1</v>
      </c>
      <c r="G53" s="3">
        <v>1</v>
      </c>
      <c r="H53" s="3">
        <v>0</v>
      </c>
      <c r="I53" s="3">
        <v>1</v>
      </c>
      <c r="J53" s="3">
        <v>1</v>
      </c>
      <c r="K53" s="3">
        <v>1</v>
      </c>
      <c r="L53" s="3">
        <v>1</v>
      </c>
      <c r="M53" s="39">
        <f t="shared" si="57"/>
        <v>7</v>
      </c>
      <c r="N53" s="3">
        <v>0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0</v>
      </c>
      <c r="V53" s="39">
        <f t="shared" si="53"/>
        <v>6</v>
      </c>
      <c r="W53" s="3">
        <v>1</v>
      </c>
      <c r="X53" s="3">
        <v>1</v>
      </c>
      <c r="Y53" s="3">
        <v>1</v>
      </c>
      <c r="Z53" s="3">
        <v>1</v>
      </c>
      <c r="AA53" s="3">
        <v>1</v>
      </c>
      <c r="AB53" s="3">
        <v>1</v>
      </c>
      <c r="AC53" s="3">
        <v>1</v>
      </c>
      <c r="AD53" s="39">
        <f t="shared" si="54"/>
        <v>7</v>
      </c>
      <c r="AE53" s="3">
        <v>1</v>
      </c>
      <c r="AF53" s="3">
        <v>1</v>
      </c>
      <c r="AG53" s="3">
        <v>1</v>
      </c>
      <c r="AH53" s="3">
        <v>1</v>
      </c>
      <c r="AI53" s="3">
        <v>1</v>
      </c>
      <c r="AJ53" s="3">
        <v>1</v>
      </c>
      <c r="AK53" s="3">
        <v>1</v>
      </c>
      <c r="AL53" s="43">
        <f t="shared" si="55"/>
        <v>7</v>
      </c>
      <c r="AM53" s="3">
        <v>1</v>
      </c>
      <c r="AN53" s="3">
        <v>1</v>
      </c>
      <c r="AO53" s="3">
        <v>1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40">
        <f t="shared" si="50"/>
        <v>8</v>
      </c>
      <c r="AV53" s="3">
        <v>1</v>
      </c>
      <c r="AW53" s="3">
        <v>0</v>
      </c>
      <c r="AX53" s="3">
        <v>1</v>
      </c>
      <c r="AY53" s="3">
        <v>0</v>
      </c>
      <c r="AZ53" s="3">
        <v>0</v>
      </c>
      <c r="BA53" s="3">
        <v>1</v>
      </c>
      <c r="BB53" s="3">
        <v>0</v>
      </c>
      <c r="BC53" s="43">
        <f t="shared" si="51"/>
        <v>3</v>
      </c>
      <c r="BD53" s="3">
        <v>1</v>
      </c>
      <c r="BE53" s="3">
        <v>1</v>
      </c>
      <c r="BF53" s="3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3">
        <v>1</v>
      </c>
      <c r="BM53" s="3">
        <v>1</v>
      </c>
      <c r="BN53" s="43">
        <f t="shared" si="52"/>
        <v>10</v>
      </c>
      <c r="BQ53" s="22">
        <f t="shared" si="7"/>
        <v>48</v>
      </c>
      <c r="BR53" s="22">
        <f t="shared" si="8"/>
        <v>85.714285714285708</v>
      </c>
    </row>
    <row r="54" spans="1:70" ht="18" x14ac:dyDescent="0.35">
      <c r="A54" s="2">
        <v>49</v>
      </c>
      <c r="B54" s="16" t="s">
        <v>132</v>
      </c>
      <c r="C54" s="20" t="s">
        <v>133</v>
      </c>
      <c r="D54" s="3">
        <v>1</v>
      </c>
      <c r="E54" s="3">
        <v>1</v>
      </c>
      <c r="F54" s="3">
        <v>0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9">
        <f t="shared" si="57"/>
        <v>8</v>
      </c>
      <c r="N54" s="3">
        <v>1</v>
      </c>
      <c r="O54" s="3">
        <v>1</v>
      </c>
      <c r="P54" s="3">
        <v>1</v>
      </c>
      <c r="Q54" s="3">
        <v>1</v>
      </c>
      <c r="R54" s="3">
        <v>0</v>
      </c>
      <c r="S54" s="3">
        <v>1</v>
      </c>
      <c r="T54" s="3">
        <v>1</v>
      </c>
      <c r="U54" s="3">
        <v>1</v>
      </c>
      <c r="V54" s="39">
        <f t="shared" si="53"/>
        <v>7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9">
        <f t="shared" si="54"/>
        <v>7</v>
      </c>
      <c r="AE54" s="3">
        <v>1</v>
      </c>
      <c r="AF54" s="3">
        <v>1</v>
      </c>
      <c r="AG54" s="3">
        <v>1</v>
      </c>
      <c r="AH54" s="3">
        <v>1</v>
      </c>
      <c r="AI54" s="3">
        <v>1</v>
      </c>
      <c r="AJ54" s="3">
        <v>1</v>
      </c>
      <c r="AK54" s="3">
        <v>0</v>
      </c>
      <c r="AL54" s="43">
        <f t="shared" si="55"/>
        <v>6</v>
      </c>
      <c r="AM54" s="3">
        <v>0</v>
      </c>
      <c r="AN54" s="3">
        <v>0</v>
      </c>
      <c r="AO54" s="3">
        <v>1</v>
      </c>
      <c r="AP54" s="3">
        <v>0</v>
      </c>
      <c r="AQ54" s="3">
        <v>1</v>
      </c>
      <c r="AR54" s="3">
        <v>0</v>
      </c>
      <c r="AS54" s="3">
        <v>1</v>
      </c>
      <c r="AT54" s="3">
        <v>1</v>
      </c>
      <c r="AU54" s="40">
        <f t="shared" si="50"/>
        <v>4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43">
        <f t="shared" si="51"/>
        <v>7</v>
      </c>
      <c r="BD54" s="3">
        <v>1</v>
      </c>
      <c r="BE54" s="3">
        <v>1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3">
        <v>1</v>
      </c>
      <c r="BN54" s="43">
        <f t="shared" si="52"/>
        <v>10</v>
      </c>
      <c r="BQ54" s="22">
        <f t="shared" si="7"/>
        <v>49</v>
      </c>
      <c r="BR54" s="22">
        <f t="shared" si="8"/>
        <v>87.5</v>
      </c>
    </row>
    <row r="55" spans="1:70" ht="18" x14ac:dyDescent="0.35">
      <c r="A55" s="2">
        <v>50</v>
      </c>
      <c r="B55" s="16" t="s">
        <v>134</v>
      </c>
      <c r="C55" s="20" t="s">
        <v>135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9">
        <f t="shared" ref="M55:M56" si="58">SUM(D55:L55)</f>
        <v>9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9">
        <f t="shared" si="53"/>
        <v>8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  <c r="AB55" s="3">
        <v>1</v>
      </c>
      <c r="AC55" s="3">
        <v>1</v>
      </c>
      <c r="AD55" s="39">
        <f t="shared" si="54"/>
        <v>7</v>
      </c>
      <c r="AE55" s="3">
        <v>1</v>
      </c>
      <c r="AF55" s="3">
        <v>1</v>
      </c>
      <c r="AG55" s="3">
        <v>1</v>
      </c>
      <c r="AH55" s="3">
        <v>1</v>
      </c>
      <c r="AI55" s="3">
        <v>0</v>
      </c>
      <c r="AJ55" s="3">
        <v>1</v>
      </c>
      <c r="AK55" s="3">
        <v>1</v>
      </c>
      <c r="AL55" s="43">
        <f t="shared" si="55"/>
        <v>6</v>
      </c>
      <c r="AM55" s="3">
        <v>1</v>
      </c>
      <c r="AN55" s="3">
        <v>0</v>
      </c>
      <c r="AO55" s="3">
        <v>0</v>
      </c>
      <c r="AP55" s="3">
        <v>1</v>
      </c>
      <c r="AQ55" s="3">
        <v>0</v>
      </c>
      <c r="AR55" s="3">
        <v>1</v>
      </c>
      <c r="AS55" s="3">
        <v>0</v>
      </c>
      <c r="AT55" s="3">
        <v>1</v>
      </c>
      <c r="AU55" s="40">
        <f t="shared" si="50"/>
        <v>4</v>
      </c>
      <c r="AV55" s="3">
        <v>1</v>
      </c>
      <c r="AW55" s="3">
        <v>1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 s="43">
        <f t="shared" si="51"/>
        <v>7</v>
      </c>
      <c r="BD55" s="3">
        <v>1</v>
      </c>
      <c r="BE55" s="3">
        <v>1</v>
      </c>
      <c r="BF55" s="3">
        <v>1</v>
      </c>
      <c r="BG55" s="3">
        <v>1</v>
      </c>
      <c r="BH55" s="3">
        <v>1</v>
      </c>
      <c r="BI55" s="3">
        <v>1</v>
      </c>
      <c r="BJ55" s="3">
        <v>1</v>
      </c>
      <c r="BK55" s="3">
        <v>1</v>
      </c>
      <c r="BL55" s="3">
        <v>1</v>
      </c>
      <c r="BM55" s="3">
        <v>1</v>
      </c>
      <c r="BN55" s="43">
        <f t="shared" si="52"/>
        <v>10</v>
      </c>
      <c r="BQ55" s="22">
        <f t="shared" si="7"/>
        <v>51</v>
      </c>
      <c r="BR55" s="22">
        <f t="shared" si="8"/>
        <v>91.071428571428569</v>
      </c>
    </row>
    <row r="56" spans="1:70" ht="18" x14ac:dyDescent="0.35">
      <c r="A56" s="2">
        <v>51</v>
      </c>
      <c r="B56" s="16" t="s">
        <v>136</v>
      </c>
      <c r="C56" s="20" t="s">
        <v>137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9">
        <f t="shared" si="58"/>
        <v>9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9">
        <f t="shared" si="53"/>
        <v>8</v>
      </c>
      <c r="W56" s="3">
        <v>1</v>
      </c>
      <c r="X56" s="3">
        <v>1</v>
      </c>
      <c r="Y56" s="3">
        <v>1</v>
      </c>
      <c r="Z56" s="3">
        <v>1</v>
      </c>
      <c r="AA56" s="3">
        <v>1</v>
      </c>
      <c r="AB56" s="3">
        <v>1</v>
      </c>
      <c r="AC56" s="3">
        <v>1</v>
      </c>
      <c r="AD56" s="39">
        <f t="shared" si="54"/>
        <v>7</v>
      </c>
      <c r="AE56" s="3">
        <v>1</v>
      </c>
      <c r="AF56" s="3">
        <v>1</v>
      </c>
      <c r="AG56" s="3">
        <v>1</v>
      </c>
      <c r="AH56" s="3">
        <v>1</v>
      </c>
      <c r="AI56" s="3">
        <v>0</v>
      </c>
      <c r="AJ56" s="3">
        <v>1</v>
      </c>
      <c r="AK56" s="3">
        <v>1</v>
      </c>
      <c r="AL56" s="43">
        <f t="shared" si="55"/>
        <v>6</v>
      </c>
      <c r="AM56" s="3">
        <v>1</v>
      </c>
      <c r="AN56" s="3">
        <v>0</v>
      </c>
      <c r="AO56" s="3">
        <v>0</v>
      </c>
      <c r="AP56" s="3">
        <v>1</v>
      </c>
      <c r="AQ56" s="3">
        <v>0</v>
      </c>
      <c r="AR56" s="3">
        <v>1</v>
      </c>
      <c r="AS56" s="3">
        <v>0</v>
      </c>
      <c r="AT56" s="3">
        <v>1</v>
      </c>
      <c r="AU56" s="40">
        <f t="shared" si="50"/>
        <v>4</v>
      </c>
      <c r="AV56" s="3">
        <v>1</v>
      </c>
      <c r="AW56" s="3">
        <v>1</v>
      </c>
      <c r="AX56" s="3">
        <v>1</v>
      </c>
      <c r="AY56" s="3">
        <v>1</v>
      </c>
      <c r="AZ56" s="3">
        <v>0</v>
      </c>
      <c r="BA56" s="3">
        <v>0</v>
      </c>
      <c r="BB56" s="3">
        <v>1</v>
      </c>
      <c r="BC56" s="43">
        <f t="shared" si="51"/>
        <v>5</v>
      </c>
      <c r="BD56" s="3">
        <v>1</v>
      </c>
      <c r="BE56" s="3">
        <v>0</v>
      </c>
      <c r="BF56" s="3">
        <v>0</v>
      </c>
      <c r="BG56" s="3">
        <v>1</v>
      </c>
      <c r="BH56" s="3">
        <v>0</v>
      </c>
      <c r="BI56" s="3">
        <v>0</v>
      </c>
      <c r="BJ56" s="3">
        <v>1</v>
      </c>
      <c r="BK56" s="3">
        <v>0</v>
      </c>
      <c r="BL56" s="3">
        <v>1</v>
      </c>
      <c r="BM56" s="3">
        <v>1</v>
      </c>
      <c r="BN56" s="43">
        <f t="shared" si="52"/>
        <v>5</v>
      </c>
      <c r="BQ56" s="22">
        <f t="shared" si="7"/>
        <v>44</v>
      </c>
      <c r="BR56" s="22">
        <f t="shared" si="8"/>
        <v>78.571428571428569</v>
      </c>
    </row>
    <row r="57" spans="1:70" ht="18" x14ac:dyDescent="0.35">
      <c r="A57" s="2">
        <v>52</v>
      </c>
      <c r="B57" s="16" t="s">
        <v>138</v>
      </c>
      <c r="C57" s="20" t="s">
        <v>139</v>
      </c>
      <c r="D57" s="3">
        <v>0</v>
      </c>
      <c r="E57" s="3">
        <v>1</v>
      </c>
      <c r="F57" s="3">
        <v>1</v>
      </c>
      <c r="G57" s="3">
        <v>1</v>
      </c>
      <c r="H57" s="3">
        <v>0</v>
      </c>
      <c r="I57" s="3">
        <v>1</v>
      </c>
      <c r="J57" s="3">
        <v>1</v>
      </c>
      <c r="K57" s="3">
        <v>1</v>
      </c>
      <c r="L57" s="3">
        <v>1</v>
      </c>
      <c r="M57" s="39">
        <f t="shared" ref="M57:M70" si="59">SUM(D57:L57)</f>
        <v>7</v>
      </c>
      <c r="N57" s="3">
        <v>0</v>
      </c>
      <c r="O57" s="3">
        <v>1</v>
      </c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0</v>
      </c>
      <c r="V57" s="39">
        <f t="shared" si="53"/>
        <v>6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9">
        <f t="shared" si="54"/>
        <v>7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43">
        <f t="shared" si="55"/>
        <v>7</v>
      </c>
      <c r="AM57" s="3">
        <v>1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  <c r="AU57" s="40">
        <f t="shared" si="50"/>
        <v>8</v>
      </c>
      <c r="AV57" s="3">
        <v>0</v>
      </c>
      <c r="AW57" s="3">
        <v>1</v>
      </c>
      <c r="AX57" s="3">
        <v>0</v>
      </c>
      <c r="AY57" s="3">
        <v>0</v>
      </c>
      <c r="AZ57" s="3">
        <v>1</v>
      </c>
      <c r="BA57" s="3">
        <v>0</v>
      </c>
      <c r="BB57" s="3">
        <v>1</v>
      </c>
      <c r="BC57" s="43">
        <f t="shared" si="51"/>
        <v>3</v>
      </c>
      <c r="BD57" s="3">
        <v>1</v>
      </c>
      <c r="BE57" s="3">
        <v>1</v>
      </c>
      <c r="BF57" s="3">
        <v>1</v>
      </c>
      <c r="BG57" s="3">
        <v>1</v>
      </c>
      <c r="BH57" s="3">
        <v>1</v>
      </c>
      <c r="BI57" s="3">
        <v>1</v>
      </c>
      <c r="BJ57" s="3">
        <v>1</v>
      </c>
      <c r="BK57" s="3">
        <v>1</v>
      </c>
      <c r="BL57" s="3">
        <v>1</v>
      </c>
      <c r="BM57" s="3">
        <v>1</v>
      </c>
      <c r="BN57" s="43">
        <f t="shared" si="52"/>
        <v>10</v>
      </c>
      <c r="BQ57" s="22">
        <f t="shared" si="7"/>
        <v>48</v>
      </c>
      <c r="BR57" s="22">
        <f t="shared" si="8"/>
        <v>85.714285714285708</v>
      </c>
    </row>
    <row r="58" spans="1:70" ht="18" x14ac:dyDescent="0.35">
      <c r="A58" s="2">
        <v>53</v>
      </c>
      <c r="B58" s="16" t="s">
        <v>140</v>
      </c>
      <c r="C58" s="20" t="s">
        <v>141</v>
      </c>
      <c r="D58" s="3">
        <v>1</v>
      </c>
      <c r="E58" s="3">
        <v>1</v>
      </c>
      <c r="F58" s="3">
        <v>0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9">
        <f t="shared" si="59"/>
        <v>8</v>
      </c>
      <c r="N58" s="3">
        <v>1</v>
      </c>
      <c r="O58" s="3">
        <v>1</v>
      </c>
      <c r="P58" s="3">
        <v>1</v>
      </c>
      <c r="Q58" s="3">
        <v>1</v>
      </c>
      <c r="R58" s="3">
        <v>0</v>
      </c>
      <c r="S58" s="3">
        <v>1</v>
      </c>
      <c r="T58" s="3">
        <v>1</v>
      </c>
      <c r="U58" s="3">
        <v>1</v>
      </c>
      <c r="V58" s="39">
        <f t="shared" si="53"/>
        <v>7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9">
        <f t="shared" si="54"/>
        <v>7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0</v>
      </c>
      <c r="AL58" s="43">
        <f t="shared" si="55"/>
        <v>6</v>
      </c>
      <c r="AM58" s="3">
        <v>0</v>
      </c>
      <c r="AN58" s="3">
        <v>0</v>
      </c>
      <c r="AO58" s="3">
        <v>1</v>
      </c>
      <c r="AP58" s="3">
        <v>0</v>
      </c>
      <c r="AQ58" s="3">
        <v>1</v>
      </c>
      <c r="AR58" s="3">
        <v>0</v>
      </c>
      <c r="AS58" s="3">
        <v>1</v>
      </c>
      <c r="AT58" s="3">
        <v>1</v>
      </c>
      <c r="AU58" s="40">
        <f t="shared" si="50"/>
        <v>4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43">
        <f t="shared" si="51"/>
        <v>7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43">
        <f t="shared" si="52"/>
        <v>10</v>
      </c>
      <c r="BQ58" s="22">
        <f t="shared" si="7"/>
        <v>49</v>
      </c>
      <c r="BR58" s="22">
        <f t="shared" si="8"/>
        <v>87.5</v>
      </c>
    </row>
    <row r="59" spans="1:70" ht="18" x14ac:dyDescent="0.35">
      <c r="A59" s="2">
        <v>54</v>
      </c>
      <c r="B59" s="16" t="s">
        <v>142</v>
      </c>
      <c r="C59" s="20" t="s">
        <v>143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9">
        <f t="shared" si="59"/>
        <v>9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9">
        <f t="shared" si="53"/>
        <v>8</v>
      </c>
      <c r="W59" s="3">
        <v>1</v>
      </c>
      <c r="X59" s="3">
        <v>1</v>
      </c>
      <c r="Y59" s="3">
        <v>1</v>
      </c>
      <c r="Z59" s="3">
        <v>1</v>
      </c>
      <c r="AA59" s="3">
        <v>1</v>
      </c>
      <c r="AB59" s="3">
        <v>1</v>
      </c>
      <c r="AC59" s="3">
        <v>1</v>
      </c>
      <c r="AD59" s="39">
        <f t="shared" si="54"/>
        <v>7</v>
      </c>
      <c r="AE59" s="3">
        <v>0</v>
      </c>
      <c r="AF59" s="3">
        <v>1</v>
      </c>
      <c r="AG59" s="3">
        <v>0</v>
      </c>
      <c r="AH59" s="3">
        <v>1</v>
      </c>
      <c r="AI59" s="3">
        <v>1</v>
      </c>
      <c r="AJ59" s="3">
        <v>1</v>
      </c>
      <c r="AK59" s="3">
        <v>1</v>
      </c>
      <c r="AL59" s="43">
        <f t="shared" si="55"/>
        <v>5</v>
      </c>
      <c r="AM59" s="3">
        <v>1</v>
      </c>
      <c r="AN59" s="3">
        <v>0</v>
      </c>
      <c r="AO59" s="3">
        <v>0</v>
      </c>
      <c r="AP59" s="3">
        <v>1</v>
      </c>
      <c r="AQ59" s="3">
        <v>0</v>
      </c>
      <c r="AR59" s="3">
        <v>1</v>
      </c>
      <c r="AS59" s="3">
        <v>0</v>
      </c>
      <c r="AT59" s="3">
        <v>1</v>
      </c>
      <c r="AU59" s="40">
        <f t="shared" si="50"/>
        <v>4</v>
      </c>
      <c r="AV59" s="3">
        <v>1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 s="43">
        <f t="shared" si="51"/>
        <v>7</v>
      </c>
      <c r="BD59" s="3">
        <v>1</v>
      </c>
      <c r="BE59" s="3">
        <v>1</v>
      </c>
      <c r="BF59" s="3">
        <v>1</v>
      </c>
      <c r="BG59" s="3">
        <v>1</v>
      </c>
      <c r="BH59" s="3">
        <v>1</v>
      </c>
      <c r="BI59" s="3">
        <v>1</v>
      </c>
      <c r="BJ59" s="3">
        <v>1</v>
      </c>
      <c r="BK59" s="3">
        <v>1</v>
      </c>
      <c r="BL59" s="3">
        <v>1</v>
      </c>
      <c r="BM59" s="3">
        <v>1</v>
      </c>
      <c r="BN59" s="43">
        <f t="shared" si="52"/>
        <v>10</v>
      </c>
      <c r="BQ59" s="22">
        <f t="shared" si="7"/>
        <v>50</v>
      </c>
      <c r="BR59" s="22">
        <f t="shared" si="8"/>
        <v>89.285714285714292</v>
      </c>
    </row>
    <row r="60" spans="1:70" ht="18" x14ac:dyDescent="0.35">
      <c r="A60" s="2">
        <v>55</v>
      </c>
      <c r="B60" s="16" t="s">
        <v>144</v>
      </c>
      <c r="C60" s="20" t="s">
        <v>145</v>
      </c>
      <c r="D60" s="3">
        <v>1</v>
      </c>
      <c r="E60" s="3">
        <v>1</v>
      </c>
      <c r="F60" s="3">
        <v>0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9">
        <f t="shared" si="59"/>
        <v>8</v>
      </c>
      <c r="N60" s="3">
        <v>1</v>
      </c>
      <c r="O60" s="3">
        <v>1</v>
      </c>
      <c r="P60" s="3">
        <v>1</v>
      </c>
      <c r="Q60" s="3">
        <v>1</v>
      </c>
      <c r="R60" s="3">
        <v>0</v>
      </c>
      <c r="S60" s="3">
        <v>1</v>
      </c>
      <c r="T60" s="3">
        <v>1</v>
      </c>
      <c r="U60" s="3">
        <v>1</v>
      </c>
      <c r="V60" s="39">
        <f t="shared" si="53"/>
        <v>7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9">
        <f t="shared" si="54"/>
        <v>7</v>
      </c>
      <c r="AE60" s="3">
        <v>1</v>
      </c>
      <c r="AF60" s="3">
        <v>1</v>
      </c>
      <c r="AG60" s="3">
        <v>1</v>
      </c>
      <c r="AH60" s="3">
        <v>1</v>
      </c>
      <c r="AI60" s="3">
        <v>1</v>
      </c>
      <c r="AJ60" s="3">
        <v>1</v>
      </c>
      <c r="AK60" s="3">
        <v>0</v>
      </c>
      <c r="AL60" s="43">
        <f t="shared" si="55"/>
        <v>6</v>
      </c>
      <c r="AM60" s="3">
        <v>1</v>
      </c>
      <c r="AN60" s="3">
        <v>0</v>
      </c>
      <c r="AO60" s="3">
        <v>0</v>
      </c>
      <c r="AP60" s="3">
        <v>1</v>
      </c>
      <c r="AQ60" s="3">
        <v>0</v>
      </c>
      <c r="AR60" s="3">
        <v>1</v>
      </c>
      <c r="AS60" s="3">
        <v>0</v>
      </c>
      <c r="AT60" s="3">
        <v>1</v>
      </c>
      <c r="AU60" s="40">
        <f t="shared" si="50"/>
        <v>4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43">
        <f t="shared" si="51"/>
        <v>7</v>
      </c>
      <c r="BD60" s="3">
        <v>1</v>
      </c>
      <c r="BE60" s="3">
        <v>1</v>
      </c>
      <c r="BF60" s="3">
        <v>1</v>
      </c>
      <c r="BG60" s="3">
        <v>1</v>
      </c>
      <c r="BH60" s="3">
        <v>1</v>
      </c>
      <c r="BI60" s="3">
        <v>1</v>
      </c>
      <c r="BJ60" s="3">
        <v>1</v>
      </c>
      <c r="BK60" s="3">
        <v>1</v>
      </c>
      <c r="BL60" s="3">
        <v>1</v>
      </c>
      <c r="BM60" s="3">
        <v>1</v>
      </c>
      <c r="BN60" s="43">
        <f t="shared" si="52"/>
        <v>10</v>
      </c>
      <c r="BQ60" s="22">
        <f t="shared" si="7"/>
        <v>49</v>
      </c>
      <c r="BR60" s="22">
        <f t="shared" si="8"/>
        <v>87.5</v>
      </c>
    </row>
    <row r="61" spans="1:70" ht="18" x14ac:dyDescent="0.35">
      <c r="A61" s="2">
        <v>56</v>
      </c>
      <c r="B61" s="16" t="s">
        <v>146</v>
      </c>
      <c r="C61" s="20" t="s">
        <v>147</v>
      </c>
      <c r="D61" s="3">
        <v>0</v>
      </c>
      <c r="E61" s="3">
        <v>1</v>
      </c>
      <c r="F61" s="3">
        <v>1</v>
      </c>
      <c r="G61" s="3">
        <v>1</v>
      </c>
      <c r="H61" s="3">
        <v>0</v>
      </c>
      <c r="I61" s="3">
        <v>1</v>
      </c>
      <c r="J61" s="3">
        <v>1</v>
      </c>
      <c r="K61" s="3">
        <v>1</v>
      </c>
      <c r="L61" s="3">
        <v>1</v>
      </c>
      <c r="M61" s="39">
        <f t="shared" si="59"/>
        <v>7</v>
      </c>
      <c r="N61" s="3">
        <v>0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0</v>
      </c>
      <c r="V61" s="39">
        <f t="shared" si="53"/>
        <v>6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">
        <v>1</v>
      </c>
      <c r="AD61" s="39">
        <f t="shared" si="54"/>
        <v>7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 s="3">
        <v>1</v>
      </c>
      <c r="AK61" s="3">
        <v>1</v>
      </c>
      <c r="AL61" s="43">
        <f t="shared" si="55"/>
        <v>7</v>
      </c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3">
        <v>1</v>
      </c>
      <c r="AS61" s="3">
        <v>1</v>
      </c>
      <c r="AT61" s="3">
        <v>1</v>
      </c>
      <c r="AU61" s="40">
        <f t="shared" si="50"/>
        <v>8</v>
      </c>
      <c r="AV61" s="3">
        <v>1</v>
      </c>
      <c r="AW61" s="3">
        <v>0</v>
      </c>
      <c r="AX61" s="3">
        <v>1</v>
      </c>
      <c r="AY61" s="3">
        <v>0</v>
      </c>
      <c r="AZ61" s="3">
        <v>0</v>
      </c>
      <c r="BA61" s="3">
        <v>1</v>
      </c>
      <c r="BB61" s="3">
        <v>0</v>
      </c>
      <c r="BC61" s="43">
        <f t="shared" si="51"/>
        <v>3</v>
      </c>
      <c r="BD61" s="3">
        <v>1</v>
      </c>
      <c r="BE61" s="3">
        <v>1</v>
      </c>
      <c r="BF61" s="3">
        <v>1</v>
      </c>
      <c r="BG61" s="3">
        <v>1</v>
      </c>
      <c r="BH61" s="3">
        <v>1</v>
      </c>
      <c r="BI61" s="3">
        <v>1</v>
      </c>
      <c r="BJ61" s="3">
        <v>1</v>
      </c>
      <c r="BK61" s="3">
        <v>1</v>
      </c>
      <c r="BL61" s="3">
        <v>1</v>
      </c>
      <c r="BM61" s="3">
        <v>1</v>
      </c>
      <c r="BN61" s="43">
        <f t="shared" si="52"/>
        <v>10</v>
      </c>
      <c r="BQ61" s="22">
        <f t="shared" si="7"/>
        <v>48</v>
      </c>
      <c r="BR61" s="22">
        <f t="shared" si="8"/>
        <v>85.714285714285708</v>
      </c>
    </row>
    <row r="62" spans="1:70" ht="18" x14ac:dyDescent="0.35">
      <c r="A62" s="2">
        <v>57</v>
      </c>
      <c r="B62" s="16" t="s">
        <v>148</v>
      </c>
      <c r="C62" s="20" t="s">
        <v>149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9">
        <f t="shared" si="59"/>
        <v>9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9">
        <f t="shared" si="53"/>
        <v>8</v>
      </c>
      <c r="W62" s="3">
        <v>1</v>
      </c>
      <c r="X62" s="3">
        <v>1</v>
      </c>
      <c r="Y62" s="3">
        <v>1</v>
      </c>
      <c r="Z62" s="3">
        <v>1</v>
      </c>
      <c r="AA62" s="3">
        <v>1</v>
      </c>
      <c r="AB62" s="3">
        <v>1</v>
      </c>
      <c r="AC62" s="3">
        <v>1</v>
      </c>
      <c r="AD62" s="39">
        <f t="shared" si="54"/>
        <v>7</v>
      </c>
      <c r="AE62" s="3">
        <v>1</v>
      </c>
      <c r="AF62" s="3">
        <v>1</v>
      </c>
      <c r="AG62" s="3">
        <v>1</v>
      </c>
      <c r="AH62" s="3">
        <v>1</v>
      </c>
      <c r="AI62" s="3">
        <v>0</v>
      </c>
      <c r="AJ62" s="3">
        <v>1</v>
      </c>
      <c r="AK62" s="3">
        <v>1</v>
      </c>
      <c r="AL62" s="43">
        <f t="shared" si="55"/>
        <v>6</v>
      </c>
      <c r="AM62" s="3">
        <v>1</v>
      </c>
      <c r="AN62" s="3">
        <v>1</v>
      </c>
      <c r="AO62" s="3">
        <v>0</v>
      </c>
      <c r="AP62" s="3">
        <v>0</v>
      </c>
      <c r="AQ62" s="3">
        <v>1</v>
      </c>
      <c r="AR62" s="3">
        <v>0</v>
      </c>
      <c r="AS62" s="3">
        <v>1</v>
      </c>
      <c r="AT62" s="3">
        <v>0</v>
      </c>
      <c r="AU62" s="40">
        <f t="shared" si="50"/>
        <v>4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43">
        <f t="shared" si="51"/>
        <v>7</v>
      </c>
      <c r="BD62" s="3">
        <v>1</v>
      </c>
      <c r="BE62" s="3">
        <v>1</v>
      </c>
      <c r="BF62" s="3">
        <v>1</v>
      </c>
      <c r="BG62" s="3">
        <v>1</v>
      </c>
      <c r="BH62" s="3">
        <v>1</v>
      </c>
      <c r="BI62" s="3">
        <v>1</v>
      </c>
      <c r="BJ62" s="3">
        <v>1</v>
      </c>
      <c r="BK62" s="3">
        <v>1</v>
      </c>
      <c r="BL62" s="3">
        <v>1</v>
      </c>
      <c r="BM62" s="3">
        <v>1</v>
      </c>
      <c r="BN62" s="43">
        <f t="shared" si="52"/>
        <v>10</v>
      </c>
      <c r="BQ62" s="22">
        <f t="shared" si="7"/>
        <v>51</v>
      </c>
      <c r="BR62" s="22">
        <f t="shared" si="8"/>
        <v>91.071428571428569</v>
      </c>
    </row>
    <row r="63" spans="1:70" ht="18" x14ac:dyDescent="0.35">
      <c r="A63" s="2">
        <v>58</v>
      </c>
      <c r="B63" s="16" t="s">
        <v>150</v>
      </c>
      <c r="C63" s="20" t="s">
        <v>151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9">
        <f t="shared" si="59"/>
        <v>9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9">
        <f t="shared" si="53"/>
        <v>8</v>
      </c>
      <c r="W63" s="3">
        <v>1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  <c r="AC63" s="3">
        <v>1</v>
      </c>
      <c r="AD63" s="39">
        <f t="shared" si="54"/>
        <v>7</v>
      </c>
      <c r="AE63" s="3">
        <v>0</v>
      </c>
      <c r="AF63" s="3">
        <v>1</v>
      </c>
      <c r="AG63" s="3">
        <v>0</v>
      </c>
      <c r="AH63" s="3">
        <v>1</v>
      </c>
      <c r="AI63" s="3">
        <v>1</v>
      </c>
      <c r="AJ63" s="3">
        <v>1</v>
      </c>
      <c r="AK63" s="3">
        <v>1</v>
      </c>
      <c r="AL63" s="43">
        <f t="shared" si="55"/>
        <v>5</v>
      </c>
      <c r="AM63" s="3">
        <v>0</v>
      </c>
      <c r="AN63" s="3">
        <v>0</v>
      </c>
      <c r="AO63" s="3">
        <v>1</v>
      </c>
      <c r="AP63" s="3">
        <v>0</v>
      </c>
      <c r="AQ63" s="3">
        <v>1</v>
      </c>
      <c r="AR63" s="3">
        <v>0</v>
      </c>
      <c r="AS63" s="3">
        <v>1</v>
      </c>
      <c r="AT63" s="3">
        <v>1</v>
      </c>
      <c r="AU63" s="40">
        <f t="shared" si="50"/>
        <v>4</v>
      </c>
      <c r="AV63" s="3">
        <v>1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43">
        <f t="shared" si="51"/>
        <v>7</v>
      </c>
      <c r="BD63" s="3">
        <v>1</v>
      </c>
      <c r="BE63" s="3">
        <v>1</v>
      </c>
      <c r="BF63" s="3">
        <v>1</v>
      </c>
      <c r="BG63" s="3">
        <v>1</v>
      </c>
      <c r="BH63" s="3">
        <v>1</v>
      </c>
      <c r="BI63" s="3">
        <v>1</v>
      </c>
      <c r="BJ63" s="3">
        <v>1</v>
      </c>
      <c r="BK63" s="3">
        <v>1</v>
      </c>
      <c r="BL63" s="3">
        <v>1</v>
      </c>
      <c r="BM63" s="3">
        <v>1</v>
      </c>
      <c r="BN63" s="43">
        <f t="shared" si="52"/>
        <v>10</v>
      </c>
      <c r="BQ63" s="22">
        <f t="shared" si="7"/>
        <v>50</v>
      </c>
      <c r="BR63" s="22">
        <f t="shared" si="8"/>
        <v>89.285714285714292</v>
      </c>
    </row>
    <row r="64" spans="1:70" ht="18" x14ac:dyDescent="0.35">
      <c r="A64" s="2">
        <v>59</v>
      </c>
      <c r="B64" s="16" t="s">
        <v>152</v>
      </c>
      <c r="C64" s="20" t="s">
        <v>153</v>
      </c>
      <c r="D64" s="3">
        <v>0</v>
      </c>
      <c r="E64" s="3">
        <v>1</v>
      </c>
      <c r="F64" s="3">
        <v>1</v>
      </c>
      <c r="G64" s="3">
        <v>1</v>
      </c>
      <c r="H64" s="3">
        <v>0</v>
      </c>
      <c r="I64" s="3">
        <v>1</v>
      </c>
      <c r="J64" s="3">
        <v>1</v>
      </c>
      <c r="K64" s="3">
        <v>1</v>
      </c>
      <c r="L64" s="3">
        <v>1</v>
      </c>
      <c r="M64" s="39">
        <f t="shared" si="59"/>
        <v>7</v>
      </c>
      <c r="N64" s="3">
        <v>0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0</v>
      </c>
      <c r="V64" s="39">
        <f t="shared" si="53"/>
        <v>6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9">
        <f t="shared" si="54"/>
        <v>7</v>
      </c>
      <c r="AE64" s="3">
        <v>1</v>
      </c>
      <c r="AF64" s="3">
        <v>1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43">
        <f t="shared" si="55"/>
        <v>7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40">
        <f t="shared" si="50"/>
        <v>8</v>
      </c>
      <c r="AV64" s="3">
        <v>0</v>
      </c>
      <c r="AW64" s="3">
        <v>1</v>
      </c>
      <c r="AX64" s="3">
        <v>0</v>
      </c>
      <c r="AY64" s="3">
        <v>0</v>
      </c>
      <c r="AZ64" s="3">
        <v>1</v>
      </c>
      <c r="BA64" s="3">
        <v>0</v>
      </c>
      <c r="BB64" s="3">
        <v>1</v>
      </c>
      <c r="BC64" s="43">
        <f t="shared" si="51"/>
        <v>3</v>
      </c>
      <c r="BD64" s="3">
        <v>1</v>
      </c>
      <c r="BE64" s="3">
        <v>1</v>
      </c>
      <c r="BF64" s="3">
        <v>1</v>
      </c>
      <c r="BG64" s="3">
        <v>1</v>
      </c>
      <c r="BH64" s="3">
        <v>1</v>
      </c>
      <c r="BI64" s="3">
        <v>1</v>
      </c>
      <c r="BJ64" s="3">
        <v>1</v>
      </c>
      <c r="BK64" s="3">
        <v>1</v>
      </c>
      <c r="BL64" s="3">
        <v>1</v>
      </c>
      <c r="BM64" s="3">
        <v>1</v>
      </c>
      <c r="BN64" s="43">
        <f t="shared" si="52"/>
        <v>10</v>
      </c>
      <c r="BQ64" s="22">
        <f t="shared" si="7"/>
        <v>48</v>
      </c>
      <c r="BR64" s="22">
        <f t="shared" si="8"/>
        <v>85.714285714285708</v>
      </c>
    </row>
    <row r="65" spans="1:70" ht="18" x14ac:dyDescent="0.35">
      <c r="A65" s="2">
        <v>60</v>
      </c>
      <c r="B65" s="16" t="s">
        <v>154</v>
      </c>
      <c r="C65" s="20" t="s">
        <v>155</v>
      </c>
      <c r="D65" s="3">
        <v>1</v>
      </c>
      <c r="E65" s="3">
        <v>1</v>
      </c>
      <c r="F65" s="3">
        <v>0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9">
        <f t="shared" si="59"/>
        <v>8</v>
      </c>
      <c r="N65" s="3">
        <v>1</v>
      </c>
      <c r="O65" s="3">
        <v>1</v>
      </c>
      <c r="P65" s="3">
        <v>1</v>
      </c>
      <c r="Q65" s="3">
        <v>1</v>
      </c>
      <c r="R65" s="3">
        <v>0</v>
      </c>
      <c r="S65" s="3">
        <v>1</v>
      </c>
      <c r="T65" s="3">
        <v>1</v>
      </c>
      <c r="U65" s="3">
        <v>1</v>
      </c>
      <c r="V65" s="39">
        <f t="shared" si="53"/>
        <v>7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1</v>
      </c>
      <c r="AC65" s="3">
        <v>1</v>
      </c>
      <c r="AD65" s="39">
        <f t="shared" si="54"/>
        <v>7</v>
      </c>
      <c r="AE65" s="3">
        <v>1</v>
      </c>
      <c r="AF65" s="3">
        <v>1</v>
      </c>
      <c r="AG65" s="3">
        <v>1</v>
      </c>
      <c r="AH65" s="3">
        <v>1</v>
      </c>
      <c r="AI65" s="3">
        <v>1</v>
      </c>
      <c r="AJ65" s="3">
        <v>1</v>
      </c>
      <c r="AK65" s="3">
        <v>0</v>
      </c>
      <c r="AL65" s="43">
        <f t="shared" si="55"/>
        <v>6</v>
      </c>
      <c r="AM65" s="3">
        <v>1</v>
      </c>
      <c r="AN65" s="3">
        <v>0</v>
      </c>
      <c r="AO65" s="3">
        <v>0</v>
      </c>
      <c r="AP65" s="3">
        <v>1</v>
      </c>
      <c r="AQ65" s="3">
        <v>0</v>
      </c>
      <c r="AR65" s="3">
        <v>1</v>
      </c>
      <c r="AS65" s="3">
        <v>0</v>
      </c>
      <c r="AT65" s="3">
        <v>1</v>
      </c>
      <c r="AU65" s="40">
        <f t="shared" si="50"/>
        <v>4</v>
      </c>
      <c r="AV65" s="3">
        <v>1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 s="43">
        <f t="shared" si="51"/>
        <v>7</v>
      </c>
      <c r="BD65" s="3">
        <v>1</v>
      </c>
      <c r="BE65" s="3">
        <v>1</v>
      </c>
      <c r="BF65" s="3">
        <v>1</v>
      </c>
      <c r="BG65" s="3">
        <v>1</v>
      </c>
      <c r="BH65" s="3">
        <v>1</v>
      </c>
      <c r="BI65" s="3">
        <v>1</v>
      </c>
      <c r="BJ65" s="3">
        <v>1</v>
      </c>
      <c r="BK65" s="3">
        <v>1</v>
      </c>
      <c r="BL65" s="3">
        <v>1</v>
      </c>
      <c r="BM65" s="3">
        <v>1</v>
      </c>
      <c r="BN65" s="43">
        <f t="shared" si="52"/>
        <v>10</v>
      </c>
      <c r="BQ65" s="22">
        <f t="shared" si="7"/>
        <v>49</v>
      </c>
      <c r="BR65" s="22">
        <f t="shared" si="8"/>
        <v>87.5</v>
      </c>
    </row>
    <row r="66" spans="1:70" ht="18" x14ac:dyDescent="0.35">
      <c r="A66" s="2">
        <v>61</v>
      </c>
      <c r="B66" s="16" t="s">
        <v>156</v>
      </c>
      <c r="C66" s="20" t="s">
        <v>157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9">
        <f t="shared" si="59"/>
        <v>9</v>
      </c>
      <c r="N66" s="3">
        <v>1</v>
      </c>
      <c r="O66" s="3">
        <v>1</v>
      </c>
      <c r="P66" s="3">
        <v>1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9">
        <f t="shared" si="53"/>
        <v>8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9">
        <f t="shared" si="54"/>
        <v>7</v>
      </c>
      <c r="AE66" s="3">
        <v>0</v>
      </c>
      <c r="AF66" s="3">
        <v>1</v>
      </c>
      <c r="AG66" s="3">
        <v>0</v>
      </c>
      <c r="AH66" s="3">
        <v>1</v>
      </c>
      <c r="AI66" s="3">
        <v>1</v>
      </c>
      <c r="AJ66" s="3">
        <v>1</v>
      </c>
      <c r="AK66" s="3">
        <v>1</v>
      </c>
      <c r="AL66" s="43">
        <f t="shared" si="55"/>
        <v>5</v>
      </c>
      <c r="AM66" s="3">
        <v>1</v>
      </c>
      <c r="AN66" s="3">
        <v>0</v>
      </c>
      <c r="AO66" s="3">
        <v>0</v>
      </c>
      <c r="AP66" s="3">
        <v>1</v>
      </c>
      <c r="AQ66" s="3">
        <v>0</v>
      </c>
      <c r="AR66" s="3">
        <v>1</v>
      </c>
      <c r="AS66" s="3">
        <v>0</v>
      </c>
      <c r="AT66" s="3">
        <v>1</v>
      </c>
      <c r="AU66" s="40">
        <f t="shared" si="50"/>
        <v>4</v>
      </c>
      <c r="AV66" s="3">
        <v>1</v>
      </c>
      <c r="AW66" s="3">
        <v>1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43">
        <f t="shared" si="51"/>
        <v>7</v>
      </c>
      <c r="BD66" s="3">
        <v>1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3">
        <v>1</v>
      </c>
      <c r="BK66" s="3">
        <v>1</v>
      </c>
      <c r="BL66" s="3">
        <v>1</v>
      </c>
      <c r="BM66" s="3">
        <v>1</v>
      </c>
      <c r="BN66" s="43">
        <f t="shared" si="52"/>
        <v>10</v>
      </c>
      <c r="BQ66" s="22">
        <f t="shared" si="7"/>
        <v>50</v>
      </c>
      <c r="BR66" s="22">
        <f t="shared" si="8"/>
        <v>89.285714285714292</v>
      </c>
    </row>
    <row r="67" spans="1:70" ht="18" x14ac:dyDescent="0.35">
      <c r="A67" s="2">
        <v>62</v>
      </c>
      <c r="B67" s="16" t="s">
        <v>158</v>
      </c>
      <c r="C67" s="20" t="s">
        <v>159</v>
      </c>
      <c r="D67" s="3">
        <v>0</v>
      </c>
      <c r="E67" s="3">
        <v>1</v>
      </c>
      <c r="F67" s="3">
        <v>1</v>
      </c>
      <c r="G67" s="3">
        <v>1</v>
      </c>
      <c r="H67" s="3">
        <v>0</v>
      </c>
      <c r="I67" s="3">
        <v>1</v>
      </c>
      <c r="J67" s="3">
        <v>1</v>
      </c>
      <c r="K67" s="3">
        <v>1</v>
      </c>
      <c r="L67" s="3">
        <v>1</v>
      </c>
      <c r="M67" s="39">
        <f t="shared" si="59"/>
        <v>7</v>
      </c>
      <c r="N67" s="3">
        <v>0</v>
      </c>
      <c r="O67" s="3">
        <v>1</v>
      </c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0</v>
      </c>
      <c r="V67" s="39">
        <f t="shared" si="53"/>
        <v>6</v>
      </c>
      <c r="W67" s="3">
        <v>1</v>
      </c>
      <c r="X67" s="3">
        <v>1</v>
      </c>
      <c r="Y67" s="3">
        <v>1</v>
      </c>
      <c r="Z67" s="3">
        <v>1</v>
      </c>
      <c r="AA67" s="3">
        <v>1</v>
      </c>
      <c r="AB67" s="3">
        <v>1</v>
      </c>
      <c r="AC67" s="3">
        <v>1</v>
      </c>
      <c r="AD67" s="39">
        <f t="shared" si="54"/>
        <v>7</v>
      </c>
      <c r="AE67" s="3">
        <v>1</v>
      </c>
      <c r="AF67" s="3">
        <v>1</v>
      </c>
      <c r="AG67" s="3">
        <v>1</v>
      </c>
      <c r="AH67" s="3">
        <v>1</v>
      </c>
      <c r="AI67" s="3">
        <v>1</v>
      </c>
      <c r="AJ67" s="3">
        <v>1</v>
      </c>
      <c r="AK67" s="3">
        <v>1</v>
      </c>
      <c r="AL67" s="43">
        <f t="shared" si="55"/>
        <v>7</v>
      </c>
      <c r="AM67" s="3">
        <v>1</v>
      </c>
      <c r="AN67" s="3">
        <v>1</v>
      </c>
      <c r="AO67" s="3">
        <v>1</v>
      </c>
      <c r="AP67" s="3">
        <v>1</v>
      </c>
      <c r="AQ67" s="3">
        <v>1</v>
      </c>
      <c r="AR67" s="3">
        <v>1</v>
      </c>
      <c r="AS67" s="3">
        <v>1</v>
      </c>
      <c r="AT67" s="3">
        <v>1</v>
      </c>
      <c r="AU67" s="40">
        <f t="shared" si="50"/>
        <v>8</v>
      </c>
      <c r="AV67" s="3">
        <v>1</v>
      </c>
      <c r="AW67" s="3">
        <v>0</v>
      </c>
      <c r="AX67" s="3">
        <v>1</v>
      </c>
      <c r="AY67" s="3">
        <v>0</v>
      </c>
      <c r="AZ67" s="3">
        <v>0</v>
      </c>
      <c r="BA67" s="3">
        <v>1</v>
      </c>
      <c r="BB67" s="3">
        <v>0</v>
      </c>
      <c r="BC67" s="43">
        <f t="shared" si="51"/>
        <v>3</v>
      </c>
      <c r="BD67" s="3">
        <v>1</v>
      </c>
      <c r="BE67" s="3">
        <v>1</v>
      </c>
      <c r="BF67" s="3">
        <v>1</v>
      </c>
      <c r="BG67" s="3">
        <v>1</v>
      </c>
      <c r="BH67" s="3">
        <v>1</v>
      </c>
      <c r="BI67" s="3">
        <v>1</v>
      </c>
      <c r="BJ67" s="3">
        <v>1</v>
      </c>
      <c r="BK67" s="3">
        <v>1</v>
      </c>
      <c r="BL67" s="3">
        <v>1</v>
      </c>
      <c r="BM67" s="3">
        <v>1</v>
      </c>
      <c r="BN67" s="43">
        <f t="shared" si="52"/>
        <v>10</v>
      </c>
      <c r="BQ67" s="22">
        <f t="shared" si="7"/>
        <v>48</v>
      </c>
      <c r="BR67" s="22">
        <f t="shared" si="8"/>
        <v>85.714285714285708</v>
      </c>
    </row>
    <row r="68" spans="1:70" ht="18" x14ac:dyDescent="0.35">
      <c r="A68" s="2">
        <v>63</v>
      </c>
      <c r="B68" s="16" t="s">
        <v>160</v>
      </c>
      <c r="C68" s="20" t="s">
        <v>161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9">
        <f t="shared" si="59"/>
        <v>9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9">
        <f t="shared" si="53"/>
        <v>8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1</v>
      </c>
      <c r="AD68" s="39">
        <f t="shared" si="54"/>
        <v>7</v>
      </c>
      <c r="AE68" s="3">
        <v>0</v>
      </c>
      <c r="AF68" s="3">
        <v>1</v>
      </c>
      <c r="AG68" s="3">
        <v>0</v>
      </c>
      <c r="AH68" s="3">
        <v>1</v>
      </c>
      <c r="AI68" s="3">
        <v>1</v>
      </c>
      <c r="AJ68" s="3">
        <v>1</v>
      </c>
      <c r="AK68" s="3">
        <v>1</v>
      </c>
      <c r="AL68" s="43">
        <f t="shared" si="55"/>
        <v>5</v>
      </c>
      <c r="AM68" s="3">
        <v>0</v>
      </c>
      <c r="AN68" s="3">
        <v>0</v>
      </c>
      <c r="AO68" s="3">
        <v>1</v>
      </c>
      <c r="AP68" s="3">
        <v>0</v>
      </c>
      <c r="AQ68" s="3">
        <v>1</v>
      </c>
      <c r="AR68" s="3">
        <v>0</v>
      </c>
      <c r="AS68" s="3">
        <v>1</v>
      </c>
      <c r="AT68" s="3">
        <v>1</v>
      </c>
      <c r="AU68" s="40">
        <f t="shared" si="50"/>
        <v>4</v>
      </c>
      <c r="AV68" s="3">
        <v>1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43">
        <f t="shared" si="51"/>
        <v>7</v>
      </c>
      <c r="BD68" s="3">
        <v>1</v>
      </c>
      <c r="BE68" s="3">
        <v>1</v>
      </c>
      <c r="BF68" s="3">
        <v>1</v>
      </c>
      <c r="BG68" s="3">
        <v>1</v>
      </c>
      <c r="BH68" s="3">
        <v>1</v>
      </c>
      <c r="BI68" s="3">
        <v>1</v>
      </c>
      <c r="BJ68" s="3">
        <v>1</v>
      </c>
      <c r="BK68" s="3">
        <v>1</v>
      </c>
      <c r="BL68" s="3">
        <v>1</v>
      </c>
      <c r="BM68" s="3">
        <v>1</v>
      </c>
      <c r="BN68" s="43">
        <f t="shared" si="52"/>
        <v>10</v>
      </c>
      <c r="BQ68" s="22">
        <f t="shared" si="7"/>
        <v>50</v>
      </c>
      <c r="BR68" s="22">
        <f t="shared" si="8"/>
        <v>89.285714285714292</v>
      </c>
    </row>
    <row r="69" spans="1:70" ht="18" x14ac:dyDescent="0.35">
      <c r="A69" s="2">
        <v>64</v>
      </c>
      <c r="B69" s="16" t="s">
        <v>162</v>
      </c>
      <c r="C69" s="20" t="s">
        <v>163</v>
      </c>
      <c r="D69" s="3">
        <v>1</v>
      </c>
      <c r="E69" s="3">
        <v>1</v>
      </c>
      <c r="F69" s="3">
        <v>0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9">
        <f t="shared" si="59"/>
        <v>8</v>
      </c>
      <c r="N69" s="3">
        <v>1</v>
      </c>
      <c r="O69" s="3">
        <v>1</v>
      </c>
      <c r="P69" s="3">
        <v>1</v>
      </c>
      <c r="Q69" s="3">
        <v>1</v>
      </c>
      <c r="R69" s="3">
        <v>0</v>
      </c>
      <c r="S69" s="3">
        <v>1</v>
      </c>
      <c r="T69" s="3">
        <v>1</v>
      </c>
      <c r="U69" s="3">
        <v>1</v>
      </c>
      <c r="V69" s="39">
        <f t="shared" si="53"/>
        <v>7</v>
      </c>
      <c r="W69" s="3">
        <v>1</v>
      </c>
      <c r="X69" s="3">
        <v>1</v>
      </c>
      <c r="Y69" s="3">
        <v>1</v>
      </c>
      <c r="Z69" s="3">
        <v>1</v>
      </c>
      <c r="AA69" s="3">
        <v>1</v>
      </c>
      <c r="AB69" s="3">
        <v>1</v>
      </c>
      <c r="AC69" s="3">
        <v>1</v>
      </c>
      <c r="AD69" s="39">
        <f t="shared" si="54"/>
        <v>7</v>
      </c>
      <c r="AE69" s="3">
        <v>1</v>
      </c>
      <c r="AF69" s="3">
        <v>1</v>
      </c>
      <c r="AG69" s="3">
        <v>1</v>
      </c>
      <c r="AH69" s="3">
        <v>1</v>
      </c>
      <c r="AI69" s="3">
        <v>1</v>
      </c>
      <c r="AJ69" s="3">
        <v>1</v>
      </c>
      <c r="AK69" s="3">
        <v>0</v>
      </c>
      <c r="AL69" s="43">
        <f t="shared" si="55"/>
        <v>6</v>
      </c>
      <c r="AM69" s="3">
        <v>1</v>
      </c>
      <c r="AN69" s="3">
        <v>0</v>
      </c>
      <c r="AO69" s="3">
        <v>0</v>
      </c>
      <c r="AP69" s="3">
        <v>1</v>
      </c>
      <c r="AQ69" s="3">
        <v>0</v>
      </c>
      <c r="AR69" s="3">
        <v>1</v>
      </c>
      <c r="AS69" s="3">
        <v>0</v>
      </c>
      <c r="AT69" s="3">
        <v>1</v>
      </c>
      <c r="AU69" s="40">
        <f t="shared" ref="AU69:AU70" si="60">SUM(AM69:AT69)</f>
        <v>4</v>
      </c>
      <c r="AV69" s="3">
        <v>1</v>
      </c>
      <c r="AW69" s="3">
        <v>1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 s="43">
        <f t="shared" ref="BC69:BC70" si="61">SUM(AV69:BB69)</f>
        <v>7</v>
      </c>
      <c r="BD69" s="3">
        <v>1</v>
      </c>
      <c r="BE69" s="3">
        <v>1</v>
      </c>
      <c r="BF69" s="3">
        <v>1</v>
      </c>
      <c r="BG69" s="3">
        <v>1</v>
      </c>
      <c r="BH69" s="3">
        <v>1</v>
      </c>
      <c r="BI69" s="3">
        <v>1</v>
      </c>
      <c r="BJ69" s="3">
        <v>1</v>
      </c>
      <c r="BK69" s="3">
        <v>1</v>
      </c>
      <c r="BL69" s="3">
        <v>1</v>
      </c>
      <c r="BM69" s="3">
        <v>1</v>
      </c>
      <c r="BN69" s="43">
        <f t="shared" ref="BN69:BN70" si="62">SUM(BD69:BM69)</f>
        <v>10</v>
      </c>
      <c r="BQ69" s="22">
        <f t="shared" si="7"/>
        <v>49</v>
      </c>
      <c r="BR69" s="22">
        <f t="shared" si="8"/>
        <v>87.5</v>
      </c>
    </row>
    <row r="70" spans="1:70" ht="18" x14ac:dyDescent="0.35">
      <c r="A70" s="2">
        <v>65</v>
      </c>
      <c r="B70" s="17" t="s">
        <v>164</v>
      </c>
      <c r="C70" s="21" t="s">
        <v>165</v>
      </c>
      <c r="D70" s="3">
        <v>0</v>
      </c>
      <c r="E70" s="3">
        <v>1</v>
      </c>
      <c r="F70" s="3">
        <v>1</v>
      </c>
      <c r="G70" s="3">
        <v>1</v>
      </c>
      <c r="H70" s="3">
        <v>0</v>
      </c>
      <c r="I70" s="3">
        <v>1</v>
      </c>
      <c r="J70" s="3">
        <v>1</v>
      </c>
      <c r="K70" s="3">
        <v>1</v>
      </c>
      <c r="L70" s="3">
        <v>1</v>
      </c>
      <c r="M70" s="39">
        <f t="shared" si="59"/>
        <v>7</v>
      </c>
      <c r="N70" s="3">
        <v>0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0</v>
      </c>
      <c r="V70" s="39">
        <f t="shared" ref="V70" si="63">SUM(N70:U70)</f>
        <v>6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9">
        <f t="shared" ref="AD70" si="64">SUM(W70:AC70)</f>
        <v>7</v>
      </c>
      <c r="AE70" s="3">
        <v>1</v>
      </c>
      <c r="AF70" s="3">
        <v>1</v>
      </c>
      <c r="AG70" s="3">
        <v>1</v>
      </c>
      <c r="AH70" s="3">
        <v>1</v>
      </c>
      <c r="AI70" s="3">
        <v>1</v>
      </c>
      <c r="AJ70" s="3">
        <v>1</v>
      </c>
      <c r="AK70" s="3">
        <v>1</v>
      </c>
      <c r="AL70" s="43">
        <f t="shared" ref="AL70" si="65">SUM(AE70:AK70)</f>
        <v>7</v>
      </c>
      <c r="AM70" s="3">
        <v>1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 s="3">
        <v>1</v>
      </c>
      <c r="AT70" s="3">
        <v>1</v>
      </c>
      <c r="AU70" s="40">
        <f t="shared" si="60"/>
        <v>8</v>
      </c>
      <c r="AV70" s="3">
        <v>0</v>
      </c>
      <c r="AW70" s="3">
        <v>1</v>
      </c>
      <c r="AX70" s="3">
        <v>0</v>
      </c>
      <c r="AY70" s="3">
        <v>0</v>
      </c>
      <c r="AZ70" s="3">
        <v>1</v>
      </c>
      <c r="BA70" s="3">
        <v>0</v>
      </c>
      <c r="BB70" s="3">
        <v>1</v>
      </c>
      <c r="BC70" s="43">
        <f t="shared" si="61"/>
        <v>3</v>
      </c>
      <c r="BD70" s="3">
        <v>1</v>
      </c>
      <c r="BE70" s="3">
        <v>1</v>
      </c>
      <c r="BF70" s="3">
        <v>1</v>
      </c>
      <c r="BG70" s="3">
        <v>1</v>
      </c>
      <c r="BH70" s="3">
        <v>1</v>
      </c>
      <c r="BI70" s="3">
        <v>1</v>
      </c>
      <c r="BJ70" s="3">
        <v>1</v>
      </c>
      <c r="BK70" s="3">
        <v>1</v>
      </c>
      <c r="BL70" s="3">
        <v>1</v>
      </c>
      <c r="BM70" s="3">
        <v>1</v>
      </c>
      <c r="BN70" s="43">
        <f t="shared" si="62"/>
        <v>10</v>
      </c>
      <c r="BQ70" s="22">
        <f t="shared" si="7"/>
        <v>48</v>
      </c>
      <c r="BR70" s="22">
        <f t="shared" si="8"/>
        <v>85.714285714285708</v>
      </c>
    </row>
  </sheetData>
  <mergeCells count="17">
    <mergeCell ref="AE2:AK2"/>
    <mergeCell ref="AL2:AL3"/>
    <mergeCell ref="A3:A4"/>
    <mergeCell ref="B3:B4"/>
    <mergeCell ref="A5:B5"/>
    <mergeCell ref="D2:L2"/>
    <mergeCell ref="M2:M3"/>
    <mergeCell ref="N2:U2"/>
    <mergeCell ref="V2:V3"/>
    <mergeCell ref="W2:AC2"/>
    <mergeCell ref="AD2:AD3"/>
    <mergeCell ref="BN2:BN3"/>
    <mergeCell ref="AM2:AT2"/>
    <mergeCell ref="AU2:AU3"/>
    <mergeCell ref="AV2:BB2"/>
    <mergeCell ref="BC2:BC3"/>
    <mergeCell ref="BD2:BM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0"/>
  <sheetViews>
    <sheetView topLeftCell="N1" zoomScale="70" zoomScaleNormal="70" workbookViewId="0">
      <selection activeCell="BR6" sqref="BR6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3" width="9.109375" style="15" hidden="1" customWidth="1"/>
    <col min="14" max="14" width="9.109375" style="15" customWidth="1"/>
    <col min="15" max="21" width="9.109375" style="15" hidden="1" customWidth="1"/>
    <col min="22" max="22" width="9.109375" style="15" customWidth="1"/>
    <col min="23" max="29" width="9.109375" style="15" hidden="1" customWidth="1"/>
    <col min="30" max="30" width="9.109375" style="15"/>
    <col min="31" max="38" width="9.109375" style="15" hidden="1" customWidth="1"/>
    <col min="39" max="39" width="9.109375" style="15"/>
    <col min="40" max="48" width="9.109375" style="15" hidden="1" customWidth="1"/>
    <col min="49" max="49" width="9.109375" style="15"/>
    <col min="50" max="56" width="9.109375" style="15" customWidth="1"/>
    <col min="57" max="57" width="9.109375" style="15"/>
    <col min="58" max="65" width="9.109375" style="15" customWidth="1"/>
    <col min="66" max="16384" width="9.109375" style="15"/>
  </cols>
  <sheetData>
    <row r="1" spans="1:70" ht="15.75" thickBot="1" x14ac:dyDescent="0.3"/>
    <row r="2" spans="1:70" ht="15.75" customHeight="1" thickBot="1" x14ac:dyDescent="0.3">
      <c r="D2" s="64" t="s">
        <v>35</v>
      </c>
      <c r="E2" s="64"/>
      <c r="F2" s="64"/>
      <c r="G2" s="64"/>
      <c r="H2" s="64"/>
      <c r="I2" s="64"/>
      <c r="J2" s="64"/>
      <c r="K2" s="64"/>
      <c r="L2" s="64"/>
      <c r="M2" s="64"/>
      <c r="N2" s="60" t="s">
        <v>16</v>
      </c>
      <c r="O2" s="63" t="s">
        <v>7</v>
      </c>
      <c r="P2" s="63"/>
      <c r="Q2" s="63"/>
      <c r="R2" s="63"/>
      <c r="S2" s="63"/>
      <c r="T2" s="63"/>
      <c r="U2" s="63"/>
      <c r="V2" s="60" t="s">
        <v>17</v>
      </c>
      <c r="W2" s="64" t="s">
        <v>7</v>
      </c>
      <c r="X2" s="64"/>
      <c r="Y2" s="64"/>
      <c r="Z2" s="64"/>
      <c r="AA2" s="64"/>
      <c r="AB2" s="64"/>
      <c r="AC2" s="64"/>
      <c r="AD2" s="60" t="s">
        <v>18</v>
      </c>
      <c r="AE2" s="56" t="s">
        <v>14</v>
      </c>
      <c r="AF2" s="53"/>
      <c r="AG2" s="53"/>
      <c r="AH2" s="53"/>
      <c r="AI2" s="53"/>
      <c r="AJ2" s="53"/>
      <c r="AK2" s="53"/>
      <c r="AL2" s="53"/>
      <c r="AM2" s="52" t="s">
        <v>19</v>
      </c>
      <c r="AN2" s="53" t="s">
        <v>14</v>
      </c>
      <c r="AO2" s="53"/>
      <c r="AP2" s="53"/>
      <c r="AQ2" s="53"/>
      <c r="AR2" s="53"/>
      <c r="AS2" s="53"/>
      <c r="AT2" s="53"/>
      <c r="AU2" s="53"/>
      <c r="AV2" s="53"/>
      <c r="AW2" s="54" t="s">
        <v>168</v>
      </c>
      <c r="AX2" s="53" t="s">
        <v>15</v>
      </c>
      <c r="AY2" s="53"/>
      <c r="AZ2" s="53"/>
      <c r="BA2" s="53"/>
      <c r="BB2" s="53"/>
      <c r="BC2" s="53"/>
      <c r="BD2" s="53"/>
      <c r="BE2" s="52" t="s">
        <v>169</v>
      </c>
      <c r="BF2" s="56" t="s">
        <v>15</v>
      </c>
      <c r="BG2" s="53"/>
      <c r="BH2" s="53"/>
      <c r="BI2" s="53"/>
      <c r="BJ2" s="53"/>
      <c r="BK2" s="53"/>
      <c r="BL2" s="53"/>
      <c r="BM2" s="53"/>
      <c r="BN2" s="52" t="s">
        <v>170</v>
      </c>
    </row>
    <row r="3" spans="1:70" x14ac:dyDescent="0.25">
      <c r="A3" s="58"/>
      <c r="B3" s="59"/>
      <c r="C3" s="29"/>
      <c r="D3" s="4" t="s">
        <v>13</v>
      </c>
      <c r="E3" s="4" t="s">
        <v>9</v>
      </c>
      <c r="F3" s="4" t="s">
        <v>10</v>
      </c>
      <c r="G3" s="4" t="s">
        <v>12</v>
      </c>
      <c r="H3" s="4" t="s">
        <v>9</v>
      </c>
      <c r="I3" s="4" t="s">
        <v>10</v>
      </c>
      <c r="J3" s="4" t="s">
        <v>12</v>
      </c>
      <c r="K3" s="4" t="s">
        <v>13</v>
      </c>
      <c r="L3" s="4" t="s">
        <v>9</v>
      </c>
      <c r="M3" s="4" t="s">
        <v>10</v>
      </c>
      <c r="N3" s="61"/>
      <c r="O3" s="4" t="s">
        <v>12</v>
      </c>
      <c r="P3" s="4" t="s">
        <v>13</v>
      </c>
      <c r="Q3" s="4" t="s">
        <v>9</v>
      </c>
      <c r="R3" s="4" t="s">
        <v>10</v>
      </c>
      <c r="S3" s="4" t="s">
        <v>13</v>
      </c>
      <c r="T3" s="4" t="s">
        <v>9</v>
      </c>
      <c r="U3" s="4" t="s">
        <v>10</v>
      </c>
      <c r="V3" s="61"/>
      <c r="W3" s="4" t="s">
        <v>13</v>
      </c>
      <c r="X3" s="4" t="s">
        <v>8</v>
      </c>
      <c r="Y3" s="4" t="s">
        <v>9</v>
      </c>
      <c r="Z3" s="4" t="s">
        <v>10</v>
      </c>
      <c r="AA3" s="4" t="s">
        <v>12</v>
      </c>
      <c r="AB3" s="4" t="s">
        <v>13</v>
      </c>
      <c r="AC3" s="4" t="s">
        <v>10</v>
      </c>
      <c r="AD3" s="61"/>
      <c r="AE3" s="30" t="s">
        <v>6</v>
      </c>
      <c r="AF3" s="30" t="s">
        <v>2</v>
      </c>
      <c r="AG3" s="30" t="s">
        <v>3</v>
      </c>
      <c r="AH3" s="30" t="s">
        <v>6</v>
      </c>
      <c r="AI3" s="30" t="s">
        <v>1</v>
      </c>
      <c r="AJ3" s="30" t="s">
        <v>2</v>
      </c>
      <c r="AK3" s="30" t="s">
        <v>5</v>
      </c>
      <c r="AL3" s="30" t="s">
        <v>6</v>
      </c>
      <c r="AM3" s="52"/>
      <c r="AN3" s="34" t="s">
        <v>1</v>
      </c>
      <c r="AO3" s="34" t="s">
        <v>2</v>
      </c>
      <c r="AP3" s="34" t="s">
        <v>3</v>
      </c>
      <c r="AQ3" s="34" t="s">
        <v>5</v>
      </c>
      <c r="AR3" s="34" t="s">
        <v>6</v>
      </c>
      <c r="AS3" s="34" t="s">
        <v>1</v>
      </c>
      <c r="AT3" s="34" t="s">
        <v>2</v>
      </c>
      <c r="AU3" s="34" t="s">
        <v>3</v>
      </c>
      <c r="AV3" s="34" t="s">
        <v>5</v>
      </c>
      <c r="AW3" s="55"/>
      <c r="AX3" s="34" t="s">
        <v>6</v>
      </c>
      <c r="AY3" s="34" t="s">
        <v>1</v>
      </c>
      <c r="AZ3" s="34" t="s">
        <v>3</v>
      </c>
      <c r="BA3" s="34" t="s">
        <v>5</v>
      </c>
      <c r="BB3" s="34" t="s">
        <v>6</v>
      </c>
      <c r="BC3" s="34" t="s">
        <v>1</v>
      </c>
      <c r="BD3" s="34" t="s">
        <v>2</v>
      </c>
      <c r="BE3" s="52"/>
      <c r="BF3" s="34" t="s">
        <v>3</v>
      </c>
      <c r="BG3" s="34" t="s">
        <v>4</v>
      </c>
      <c r="BH3" s="34" t="s">
        <v>6</v>
      </c>
      <c r="BI3" s="34" t="s">
        <v>3</v>
      </c>
      <c r="BJ3" s="34" t="s">
        <v>5</v>
      </c>
      <c r="BK3" s="34" t="s">
        <v>1</v>
      </c>
      <c r="BL3" s="34" t="s">
        <v>2</v>
      </c>
      <c r="BM3" s="34" t="s">
        <v>4</v>
      </c>
      <c r="BN3" s="52"/>
    </row>
    <row r="4" spans="1:70" x14ac:dyDescent="0.25">
      <c r="A4" s="58"/>
      <c r="B4" s="59"/>
      <c r="C4" s="35" t="s">
        <v>167</v>
      </c>
      <c r="D4" s="6">
        <v>14</v>
      </c>
      <c r="E4" s="6">
        <v>16</v>
      </c>
      <c r="F4" s="6">
        <v>17</v>
      </c>
      <c r="G4" s="6">
        <v>19</v>
      </c>
      <c r="H4" s="6">
        <v>23</v>
      </c>
      <c r="I4" s="6">
        <v>24</v>
      </c>
      <c r="J4" s="6">
        <v>26</v>
      </c>
      <c r="K4" s="6">
        <v>28</v>
      </c>
      <c r="L4" s="6">
        <v>30</v>
      </c>
      <c r="M4" s="6">
        <v>31</v>
      </c>
      <c r="N4" s="6"/>
      <c r="O4" s="30">
        <v>2</v>
      </c>
      <c r="P4" s="30">
        <v>4</v>
      </c>
      <c r="Q4" s="30">
        <v>6</v>
      </c>
      <c r="R4" s="30">
        <v>7</v>
      </c>
      <c r="S4" s="30">
        <v>11</v>
      </c>
      <c r="T4" s="30">
        <v>13</v>
      </c>
      <c r="U4" s="30">
        <v>14</v>
      </c>
      <c r="V4" s="30"/>
      <c r="W4" s="30">
        <v>18</v>
      </c>
      <c r="X4" s="30">
        <v>19</v>
      </c>
      <c r="Y4" s="30">
        <v>20</v>
      </c>
      <c r="Z4" s="30">
        <v>21</v>
      </c>
      <c r="AA4" s="30">
        <v>23</v>
      </c>
      <c r="AB4" s="30">
        <v>25</v>
      </c>
      <c r="AC4" s="30">
        <v>28</v>
      </c>
      <c r="AD4" s="27"/>
      <c r="AE4" s="30">
        <v>1</v>
      </c>
      <c r="AF4" s="30">
        <v>3</v>
      </c>
      <c r="AG4" s="30">
        <v>4</v>
      </c>
      <c r="AH4" s="30">
        <v>8</v>
      </c>
      <c r="AI4" s="30">
        <v>9</v>
      </c>
      <c r="AJ4" s="30">
        <v>10</v>
      </c>
      <c r="AK4" s="30">
        <v>13</v>
      </c>
      <c r="AL4" s="30">
        <v>15</v>
      </c>
      <c r="AM4" s="7"/>
      <c r="AN4" s="34">
        <v>16</v>
      </c>
      <c r="AO4" s="34">
        <v>17</v>
      </c>
      <c r="AP4" s="34">
        <v>18</v>
      </c>
      <c r="AQ4" s="34">
        <v>20</v>
      </c>
      <c r="AR4" s="34">
        <v>22</v>
      </c>
      <c r="AS4" s="34">
        <v>23</v>
      </c>
      <c r="AT4" s="34">
        <v>24</v>
      </c>
      <c r="AU4" s="34">
        <v>25</v>
      </c>
      <c r="AV4" s="34">
        <v>27</v>
      </c>
      <c r="AW4" s="7"/>
      <c r="AX4" s="34">
        <v>6</v>
      </c>
      <c r="AY4" s="34">
        <v>7</v>
      </c>
      <c r="AZ4" s="34">
        <v>9</v>
      </c>
      <c r="BA4" s="34">
        <v>11</v>
      </c>
      <c r="BB4" s="34">
        <v>13</v>
      </c>
      <c r="BC4" s="34">
        <v>14</v>
      </c>
      <c r="BD4" s="34">
        <v>15</v>
      </c>
      <c r="BE4" s="7"/>
      <c r="BF4" s="34">
        <v>16</v>
      </c>
      <c r="BG4" s="34">
        <v>17</v>
      </c>
      <c r="BH4" s="34">
        <v>20</v>
      </c>
      <c r="BI4" s="34">
        <v>23</v>
      </c>
      <c r="BJ4" s="34">
        <v>25</v>
      </c>
      <c r="BK4" s="34">
        <v>27</v>
      </c>
      <c r="BL4" s="34">
        <v>28</v>
      </c>
      <c r="BM4" s="34">
        <v>31</v>
      </c>
      <c r="BN4" s="7"/>
    </row>
    <row r="5" spans="1:70" s="26" customFormat="1" ht="21" customHeight="1" x14ac:dyDescent="0.25">
      <c r="A5" s="57" t="s">
        <v>0</v>
      </c>
      <c r="B5" s="57"/>
      <c r="C5" s="28"/>
      <c r="D5" s="24">
        <v>1</v>
      </c>
      <c r="E5" s="24">
        <v>1</v>
      </c>
      <c r="F5" s="24">
        <v>1</v>
      </c>
      <c r="G5" s="25">
        <v>1</v>
      </c>
      <c r="H5" s="25">
        <v>1</v>
      </c>
      <c r="I5" s="25">
        <v>1</v>
      </c>
      <c r="J5" s="25">
        <v>1</v>
      </c>
      <c r="K5" s="25">
        <v>1</v>
      </c>
      <c r="L5" s="25">
        <v>1</v>
      </c>
      <c r="M5" s="25">
        <v>1</v>
      </c>
      <c r="N5" s="25">
        <f t="shared" ref="N5:N34" si="0">SUM(D5:M5)</f>
        <v>10</v>
      </c>
      <c r="O5" s="25">
        <v>1</v>
      </c>
      <c r="P5" s="25">
        <v>1</v>
      </c>
      <c r="Q5" s="25">
        <v>1</v>
      </c>
      <c r="R5" s="25">
        <v>1</v>
      </c>
      <c r="S5" s="25">
        <v>1</v>
      </c>
      <c r="T5" s="25">
        <v>1</v>
      </c>
      <c r="U5" s="25">
        <v>1</v>
      </c>
      <c r="V5" s="25">
        <f t="shared" ref="V5:V13" si="1">SUM(O5:U5)</f>
        <v>7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B5" s="25">
        <v>1</v>
      </c>
      <c r="AC5" s="25">
        <v>1</v>
      </c>
      <c r="AD5" s="25">
        <f t="shared" ref="AD5:AD13" si="2">SUM(W5:AC5)</f>
        <v>7</v>
      </c>
      <c r="AE5" s="25">
        <v>1</v>
      </c>
      <c r="AF5" s="25">
        <v>1</v>
      </c>
      <c r="AG5" s="24">
        <v>1</v>
      </c>
      <c r="AH5" s="24">
        <v>1</v>
      </c>
      <c r="AI5" s="25">
        <v>1</v>
      </c>
      <c r="AJ5" s="24">
        <v>1</v>
      </c>
      <c r="AK5" s="25">
        <v>1</v>
      </c>
      <c r="AL5" s="25">
        <v>1</v>
      </c>
      <c r="AM5" s="28">
        <f t="shared" ref="AM5:AM34" si="3">SUM(AE5:AL5)</f>
        <v>8</v>
      </c>
      <c r="AN5" s="24">
        <v>1</v>
      </c>
      <c r="AO5" s="25">
        <v>1</v>
      </c>
      <c r="AP5" s="24">
        <v>1</v>
      </c>
      <c r="AQ5" s="25">
        <v>1</v>
      </c>
      <c r="AR5" s="24">
        <v>1</v>
      </c>
      <c r="AS5" s="25">
        <v>1</v>
      </c>
      <c r="AT5" s="24">
        <v>1</v>
      </c>
      <c r="AU5" s="25">
        <v>1</v>
      </c>
      <c r="AV5" s="25">
        <v>1</v>
      </c>
      <c r="AW5" s="49">
        <f t="shared" ref="AW5:AW36" si="4">SUM(AN5:AV5)</f>
        <v>9</v>
      </c>
      <c r="AX5" s="24">
        <v>1</v>
      </c>
      <c r="AY5" s="24">
        <v>1</v>
      </c>
      <c r="AZ5" s="24">
        <v>1</v>
      </c>
      <c r="BA5" s="24">
        <v>1</v>
      </c>
      <c r="BB5" s="25">
        <v>1</v>
      </c>
      <c r="BC5" s="25">
        <v>1</v>
      </c>
      <c r="BD5" s="24">
        <v>1</v>
      </c>
      <c r="BE5" s="38">
        <f t="shared" ref="BE5:BE36" si="5">SUM(AX5:BD5)</f>
        <v>7</v>
      </c>
      <c r="BF5" s="25">
        <v>1</v>
      </c>
      <c r="BG5" s="25">
        <v>1</v>
      </c>
      <c r="BH5" s="24">
        <v>1</v>
      </c>
      <c r="BI5" s="25">
        <v>1</v>
      </c>
      <c r="BJ5" s="24">
        <v>1</v>
      </c>
      <c r="BK5" s="24">
        <v>1</v>
      </c>
      <c r="BL5" s="24">
        <v>1</v>
      </c>
      <c r="BM5" s="24">
        <v>1</v>
      </c>
      <c r="BN5" s="33">
        <f t="shared" ref="BN5:BN36" si="6">SUM(BF5:BM5)</f>
        <v>8</v>
      </c>
      <c r="BQ5" s="28">
        <f>N5+V5+AD5+AM5+AW5+BE5+BN5</f>
        <v>56</v>
      </c>
      <c r="BR5" s="28"/>
    </row>
    <row r="6" spans="1:70" ht="18.75" x14ac:dyDescent="0.3">
      <c r="A6" s="2">
        <v>1</v>
      </c>
      <c r="B6" s="16" t="s">
        <v>36</v>
      </c>
      <c r="C6" s="20" t="s">
        <v>37</v>
      </c>
      <c r="D6" s="3">
        <v>0</v>
      </c>
      <c r="E6" s="3">
        <v>1</v>
      </c>
      <c r="F6" s="3">
        <v>1</v>
      </c>
      <c r="G6" s="3">
        <v>0</v>
      </c>
      <c r="H6" s="3">
        <v>1</v>
      </c>
      <c r="I6" s="3">
        <v>1</v>
      </c>
      <c r="J6" s="3">
        <v>1</v>
      </c>
      <c r="K6" s="3">
        <v>0</v>
      </c>
      <c r="L6" s="3">
        <v>1</v>
      </c>
      <c r="M6" s="3">
        <v>1</v>
      </c>
      <c r="N6" s="39">
        <f t="shared" si="0"/>
        <v>7</v>
      </c>
      <c r="O6" s="3">
        <v>1</v>
      </c>
      <c r="P6" s="3">
        <v>0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9">
        <f t="shared" si="1"/>
        <v>6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9">
        <f t="shared" si="2"/>
        <v>7</v>
      </c>
      <c r="AE6" s="3">
        <v>1</v>
      </c>
      <c r="AF6" s="3">
        <v>0</v>
      </c>
      <c r="AG6" s="3">
        <v>1</v>
      </c>
      <c r="AH6" s="3">
        <v>1</v>
      </c>
      <c r="AI6" s="3">
        <v>0</v>
      </c>
      <c r="AJ6" s="3">
        <v>1</v>
      </c>
      <c r="AK6" s="3">
        <v>1</v>
      </c>
      <c r="AL6" s="3">
        <v>1</v>
      </c>
      <c r="AM6" s="43">
        <f t="shared" si="3"/>
        <v>6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43">
        <f t="shared" si="4"/>
        <v>9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43">
        <f t="shared" si="5"/>
        <v>7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43">
        <f t="shared" si="6"/>
        <v>8</v>
      </c>
      <c r="BQ6" s="22">
        <f>N6+V6+AD6+AM6+AW6+BE6+BN6</f>
        <v>50</v>
      </c>
      <c r="BR6" s="22">
        <f>BQ6/56*100</f>
        <v>89.285714285714292</v>
      </c>
    </row>
    <row r="7" spans="1:70" ht="18.75" x14ac:dyDescent="0.3">
      <c r="A7" s="2">
        <v>2</v>
      </c>
      <c r="B7" s="16" t="s">
        <v>38</v>
      </c>
      <c r="C7" s="20" t="s">
        <v>39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9">
        <f t="shared" si="0"/>
        <v>10</v>
      </c>
      <c r="O7" s="3">
        <v>1</v>
      </c>
      <c r="P7" s="3">
        <v>1</v>
      </c>
      <c r="Q7" s="3">
        <v>1</v>
      </c>
      <c r="R7" s="3">
        <v>1</v>
      </c>
      <c r="S7" s="3">
        <v>0</v>
      </c>
      <c r="T7" s="3">
        <v>1</v>
      </c>
      <c r="U7" s="3">
        <v>1</v>
      </c>
      <c r="V7" s="39">
        <f t="shared" si="1"/>
        <v>6</v>
      </c>
      <c r="W7" s="3">
        <v>1</v>
      </c>
      <c r="X7" s="3">
        <v>1</v>
      </c>
      <c r="Y7" s="3">
        <v>0</v>
      </c>
      <c r="Z7" s="3">
        <v>1</v>
      </c>
      <c r="AA7" s="3">
        <v>1</v>
      </c>
      <c r="AB7" s="3">
        <v>1</v>
      </c>
      <c r="AC7" s="3">
        <v>1</v>
      </c>
      <c r="AD7" s="39">
        <f t="shared" si="2"/>
        <v>6</v>
      </c>
      <c r="AE7" s="3">
        <v>1</v>
      </c>
      <c r="AF7" s="3">
        <v>1</v>
      </c>
      <c r="AG7" s="3">
        <v>1</v>
      </c>
      <c r="AH7" s="3">
        <v>0</v>
      </c>
      <c r="AI7" s="3">
        <v>1</v>
      </c>
      <c r="AJ7" s="3">
        <v>1</v>
      </c>
      <c r="AK7" s="3">
        <v>1</v>
      </c>
      <c r="AL7" s="3">
        <v>1</v>
      </c>
      <c r="AM7" s="43">
        <f t="shared" si="3"/>
        <v>7</v>
      </c>
      <c r="AN7" s="3">
        <v>0</v>
      </c>
      <c r="AO7" s="3">
        <v>1</v>
      </c>
      <c r="AP7" s="3">
        <v>0</v>
      </c>
      <c r="AQ7" s="3">
        <v>1</v>
      </c>
      <c r="AR7" s="3">
        <v>0</v>
      </c>
      <c r="AS7" s="3">
        <v>0</v>
      </c>
      <c r="AT7" s="3">
        <v>1</v>
      </c>
      <c r="AU7" s="3">
        <v>1</v>
      </c>
      <c r="AV7" s="3">
        <v>1</v>
      </c>
      <c r="AW7" s="43">
        <f t="shared" si="4"/>
        <v>5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43">
        <f t="shared" si="5"/>
        <v>7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43">
        <f t="shared" si="6"/>
        <v>8</v>
      </c>
      <c r="BQ7" s="22">
        <f t="shared" ref="BQ7:BQ70" si="7">N7+V7+AD7+AM7+AW7+BE7+BN7</f>
        <v>49</v>
      </c>
      <c r="BR7" s="22">
        <f t="shared" ref="BR7:BR70" si="8">BQ7/56*100</f>
        <v>87.5</v>
      </c>
    </row>
    <row r="8" spans="1:70" ht="18.75" x14ac:dyDescent="0.3">
      <c r="A8" s="2">
        <v>3</v>
      </c>
      <c r="B8" s="16" t="s">
        <v>40</v>
      </c>
      <c r="C8" s="20" t="s">
        <v>41</v>
      </c>
      <c r="D8" s="3">
        <v>0</v>
      </c>
      <c r="E8" s="3">
        <v>1</v>
      </c>
      <c r="F8" s="3">
        <v>1</v>
      </c>
      <c r="G8" s="3">
        <v>0</v>
      </c>
      <c r="H8" s="3">
        <v>1</v>
      </c>
      <c r="I8" s="3">
        <v>1</v>
      </c>
      <c r="J8" s="3">
        <v>1</v>
      </c>
      <c r="K8" s="3">
        <v>0</v>
      </c>
      <c r="L8" s="3">
        <v>1</v>
      </c>
      <c r="M8" s="3">
        <v>1</v>
      </c>
      <c r="N8" s="39">
        <f t="shared" ref="N8" si="9">SUM(D8:M8)</f>
        <v>7</v>
      </c>
      <c r="O8" s="3">
        <v>1</v>
      </c>
      <c r="P8" s="3">
        <v>0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9">
        <f t="shared" ref="V8" si="10">SUM(O8:U8)</f>
        <v>6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9">
        <f t="shared" ref="AD8" si="11">SUM(W8:AC8)</f>
        <v>7</v>
      </c>
      <c r="AE8" s="3">
        <v>1</v>
      </c>
      <c r="AF8" s="3">
        <v>0</v>
      </c>
      <c r="AG8" s="3">
        <v>1</v>
      </c>
      <c r="AH8" s="3">
        <v>1</v>
      </c>
      <c r="AI8" s="3">
        <v>0</v>
      </c>
      <c r="AJ8" s="3">
        <v>1</v>
      </c>
      <c r="AK8" s="3">
        <v>1</v>
      </c>
      <c r="AL8" s="3">
        <v>1</v>
      </c>
      <c r="AM8" s="43">
        <f t="shared" ref="AM8" si="12">SUM(AE8:AL8)</f>
        <v>6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43">
        <f t="shared" si="4"/>
        <v>9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43">
        <f t="shared" si="5"/>
        <v>7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43">
        <f t="shared" si="6"/>
        <v>8</v>
      </c>
      <c r="BQ8" s="22">
        <f t="shared" si="7"/>
        <v>50</v>
      </c>
      <c r="BR8" s="22">
        <f t="shared" si="8"/>
        <v>89.285714285714292</v>
      </c>
    </row>
    <row r="9" spans="1:70" ht="18.75" x14ac:dyDescent="0.3">
      <c r="A9" s="2">
        <v>4</v>
      </c>
      <c r="B9" s="16" t="s">
        <v>42</v>
      </c>
      <c r="C9" s="20" t="s">
        <v>43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9">
        <f t="shared" si="0"/>
        <v>10</v>
      </c>
      <c r="O9" s="3">
        <v>1</v>
      </c>
      <c r="P9" s="3">
        <v>1</v>
      </c>
      <c r="Q9" s="3">
        <v>1</v>
      </c>
      <c r="R9" s="3">
        <v>1</v>
      </c>
      <c r="S9" s="3">
        <v>0</v>
      </c>
      <c r="T9" s="3">
        <v>0</v>
      </c>
      <c r="U9" s="3">
        <v>1</v>
      </c>
      <c r="V9" s="39">
        <f t="shared" si="1"/>
        <v>5</v>
      </c>
      <c r="W9" s="3">
        <v>1</v>
      </c>
      <c r="X9" s="3">
        <v>1</v>
      </c>
      <c r="Y9" s="3">
        <v>1</v>
      </c>
      <c r="Z9" s="3">
        <v>1</v>
      </c>
      <c r="AA9" s="3">
        <v>0</v>
      </c>
      <c r="AB9" s="3">
        <v>1</v>
      </c>
      <c r="AC9" s="3">
        <v>1</v>
      </c>
      <c r="AD9" s="39">
        <f t="shared" si="2"/>
        <v>6</v>
      </c>
      <c r="AE9" s="3">
        <v>1</v>
      </c>
      <c r="AF9" s="3">
        <v>0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43">
        <f t="shared" si="3"/>
        <v>7</v>
      </c>
      <c r="AN9" s="3">
        <v>1</v>
      </c>
      <c r="AO9" s="3">
        <v>0</v>
      </c>
      <c r="AP9" s="3">
        <v>1</v>
      </c>
      <c r="AQ9" s="3">
        <v>0</v>
      </c>
      <c r="AR9" s="3">
        <v>1</v>
      </c>
      <c r="AS9" s="3">
        <v>0</v>
      </c>
      <c r="AT9" s="3">
        <v>0</v>
      </c>
      <c r="AU9" s="3">
        <v>1</v>
      </c>
      <c r="AV9" s="3">
        <v>1</v>
      </c>
      <c r="AW9" s="43">
        <f t="shared" si="4"/>
        <v>5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43">
        <f t="shared" si="5"/>
        <v>7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43">
        <f t="shared" si="6"/>
        <v>8</v>
      </c>
      <c r="BQ9" s="22">
        <f t="shared" si="7"/>
        <v>48</v>
      </c>
      <c r="BR9" s="22">
        <f t="shared" si="8"/>
        <v>85.714285714285708</v>
      </c>
    </row>
    <row r="10" spans="1:70" ht="18.75" x14ac:dyDescent="0.3">
      <c r="A10" s="2">
        <v>5</v>
      </c>
      <c r="B10" s="16" t="s">
        <v>44</v>
      </c>
      <c r="C10" s="20" t="s">
        <v>45</v>
      </c>
      <c r="D10" s="3">
        <v>0</v>
      </c>
      <c r="E10" s="3">
        <v>1</v>
      </c>
      <c r="F10" s="3">
        <v>1</v>
      </c>
      <c r="G10" s="3">
        <v>0</v>
      </c>
      <c r="H10" s="3">
        <v>1</v>
      </c>
      <c r="I10" s="3">
        <v>1</v>
      </c>
      <c r="J10" s="3">
        <v>1</v>
      </c>
      <c r="K10" s="3">
        <v>0</v>
      </c>
      <c r="L10" s="3">
        <v>1</v>
      </c>
      <c r="M10" s="3">
        <v>1</v>
      </c>
      <c r="N10" s="39">
        <f t="shared" ref="N10" si="13">SUM(D10:M10)</f>
        <v>7</v>
      </c>
      <c r="O10" s="3">
        <v>1</v>
      </c>
      <c r="P10" s="3">
        <v>0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9">
        <f t="shared" ref="V10:V11" si="14">SUM(O10:U10)</f>
        <v>6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9">
        <f t="shared" ref="AD10:AD11" si="15">SUM(W10:AC10)</f>
        <v>7</v>
      </c>
      <c r="AE10" s="3">
        <v>1</v>
      </c>
      <c r="AF10" s="3">
        <v>0</v>
      </c>
      <c r="AG10" s="3">
        <v>1</v>
      </c>
      <c r="AH10" s="3">
        <v>1</v>
      </c>
      <c r="AI10" s="3">
        <v>0</v>
      </c>
      <c r="AJ10" s="3">
        <v>1</v>
      </c>
      <c r="AK10" s="3">
        <v>1</v>
      </c>
      <c r="AL10" s="3">
        <v>1</v>
      </c>
      <c r="AM10" s="43">
        <f t="shared" ref="AM10" si="16">SUM(AE10:AL10)</f>
        <v>6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43">
        <f t="shared" si="4"/>
        <v>9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1</v>
      </c>
      <c r="BD10" s="3">
        <v>1</v>
      </c>
      <c r="BE10" s="43">
        <f t="shared" si="5"/>
        <v>7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1</v>
      </c>
      <c r="BN10" s="43">
        <f t="shared" si="6"/>
        <v>8</v>
      </c>
      <c r="BQ10" s="22">
        <f t="shared" si="7"/>
        <v>50</v>
      </c>
      <c r="BR10" s="22">
        <f t="shared" si="8"/>
        <v>89.285714285714292</v>
      </c>
    </row>
    <row r="11" spans="1:70" ht="18.75" x14ac:dyDescent="0.3">
      <c r="A11" s="2">
        <v>6</v>
      </c>
      <c r="B11" s="16" t="s">
        <v>46</v>
      </c>
      <c r="C11" s="20" t="s">
        <v>47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9">
        <f t="shared" si="0"/>
        <v>10</v>
      </c>
      <c r="O11" s="3">
        <v>1</v>
      </c>
      <c r="P11" s="3">
        <v>1</v>
      </c>
      <c r="Q11" s="3">
        <v>1</v>
      </c>
      <c r="R11" s="3">
        <v>1</v>
      </c>
      <c r="S11" s="3">
        <v>0</v>
      </c>
      <c r="T11" s="3">
        <v>1</v>
      </c>
      <c r="U11" s="3">
        <v>1</v>
      </c>
      <c r="V11" s="39">
        <f t="shared" si="14"/>
        <v>6</v>
      </c>
      <c r="W11" s="3">
        <v>1</v>
      </c>
      <c r="X11" s="3">
        <v>1</v>
      </c>
      <c r="Y11" s="3">
        <v>0</v>
      </c>
      <c r="Z11" s="3">
        <v>1</v>
      </c>
      <c r="AA11" s="3">
        <v>1</v>
      </c>
      <c r="AB11" s="3">
        <v>1</v>
      </c>
      <c r="AC11" s="3">
        <v>1</v>
      </c>
      <c r="AD11" s="39">
        <f t="shared" si="15"/>
        <v>6</v>
      </c>
      <c r="AE11" s="3">
        <v>1</v>
      </c>
      <c r="AF11" s="3">
        <v>1</v>
      </c>
      <c r="AG11" s="3">
        <v>1</v>
      </c>
      <c r="AH11" s="3">
        <v>0</v>
      </c>
      <c r="AI11" s="3">
        <v>1</v>
      </c>
      <c r="AJ11" s="3">
        <v>1</v>
      </c>
      <c r="AK11" s="3">
        <v>1</v>
      </c>
      <c r="AL11" s="3">
        <v>1</v>
      </c>
      <c r="AM11" s="43">
        <f t="shared" si="3"/>
        <v>7</v>
      </c>
      <c r="AN11" s="3">
        <v>0</v>
      </c>
      <c r="AO11" s="3">
        <v>1</v>
      </c>
      <c r="AP11" s="3">
        <v>0</v>
      </c>
      <c r="AQ11" s="3">
        <v>1</v>
      </c>
      <c r="AR11" s="3">
        <v>0</v>
      </c>
      <c r="AS11" s="3">
        <v>0</v>
      </c>
      <c r="AT11" s="3">
        <v>1</v>
      </c>
      <c r="AU11" s="3">
        <v>1</v>
      </c>
      <c r="AV11" s="3">
        <v>1</v>
      </c>
      <c r="AW11" s="43">
        <f t="shared" si="4"/>
        <v>5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43">
        <f t="shared" si="5"/>
        <v>7</v>
      </c>
      <c r="BF11" s="3">
        <v>1</v>
      </c>
      <c r="BG11" s="3">
        <v>1</v>
      </c>
      <c r="BH11" s="3">
        <v>1</v>
      </c>
      <c r="BI11" s="3">
        <v>1</v>
      </c>
      <c r="BJ11" s="3">
        <v>1</v>
      </c>
      <c r="BK11" s="3">
        <v>1</v>
      </c>
      <c r="BL11" s="3">
        <v>1</v>
      </c>
      <c r="BM11" s="3">
        <v>1</v>
      </c>
      <c r="BN11" s="43">
        <f t="shared" si="6"/>
        <v>8</v>
      </c>
      <c r="BQ11" s="22">
        <f t="shared" si="7"/>
        <v>49</v>
      </c>
      <c r="BR11" s="22">
        <f t="shared" si="8"/>
        <v>87.5</v>
      </c>
    </row>
    <row r="12" spans="1:70" ht="18.75" x14ac:dyDescent="0.3">
      <c r="A12" s="2">
        <v>7</v>
      </c>
      <c r="B12" s="16" t="s">
        <v>48</v>
      </c>
      <c r="C12" s="20" t="s">
        <v>49</v>
      </c>
      <c r="D12" s="3">
        <v>0</v>
      </c>
      <c r="E12" s="3">
        <v>1</v>
      </c>
      <c r="F12" s="3">
        <v>1</v>
      </c>
      <c r="G12" s="3">
        <v>0</v>
      </c>
      <c r="H12" s="3">
        <v>1</v>
      </c>
      <c r="I12" s="3">
        <v>1</v>
      </c>
      <c r="J12" s="3">
        <v>1</v>
      </c>
      <c r="K12" s="3">
        <v>0</v>
      </c>
      <c r="L12" s="3">
        <v>1</v>
      </c>
      <c r="M12" s="3">
        <v>1</v>
      </c>
      <c r="N12" s="39">
        <f t="shared" ref="N12" si="17">SUM(D12:M12)</f>
        <v>7</v>
      </c>
      <c r="O12" s="3">
        <v>1</v>
      </c>
      <c r="P12" s="3">
        <v>0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9">
        <f t="shared" ref="V12" si="18">SUM(O12:U12)</f>
        <v>6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9">
        <f t="shared" ref="AD12" si="19">SUM(W12:AC12)</f>
        <v>7</v>
      </c>
      <c r="AE12" s="3">
        <v>1</v>
      </c>
      <c r="AF12" s="3">
        <v>0</v>
      </c>
      <c r="AG12" s="3">
        <v>1</v>
      </c>
      <c r="AH12" s="3">
        <v>1</v>
      </c>
      <c r="AI12" s="3">
        <v>0</v>
      </c>
      <c r="AJ12" s="3">
        <v>1</v>
      </c>
      <c r="AK12" s="3">
        <v>1</v>
      </c>
      <c r="AL12" s="3">
        <v>1</v>
      </c>
      <c r="AM12" s="43">
        <f t="shared" ref="AM12" si="20">SUM(AE12:AL12)</f>
        <v>6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43">
        <f t="shared" si="4"/>
        <v>9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43">
        <f t="shared" si="5"/>
        <v>7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43">
        <f t="shared" si="6"/>
        <v>8</v>
      </c>
      <c r="BQ12" s="22">
        <f t="shared" si="7"/>
        <v>50</v>
      </c>
      <c r="BR12" s="22">
        <f t="shared" si="8"/>
        <v>89.285714285714292</v>
      </c>
    </row>
    <row r="13" spans="1:70" ht="18.75" x14ac:dyDescent="0.3">
      <c r="A13" s="2">
        <v>8</v>
      </c>
      <c r="B13" s="16" t="s">
        <v>50</v>
      </c>
      <c r="C13" s="20" t="s">
        <v>51</v>
      </c>
      <c r="D13" s="3">
        <v>0</v>
      </c>
      <c r="E13" s="3">
        <v>1</v>
      </c>
      <c r="F13" s="3">
        <v>1</v>
      </c>
      <c r="G13" s="3">
        <v>0</v>
      </c>
      <c r="H13" s="3">
        <v>1</v>
      </c>
      <c r="I13" s="3">
        <v>1</v>
      </c>
      <c r="J13" s="3">
        <v>1</v>
      </c>
      <c r="K13" s="3">
        <v>0</v>
      </c>
      <c r="L13" s="3">
        <v>1</v>
      </c>
      <c r="M13" s="3">
        <v>1</v>
      </c>
      <c r="N13" s="39">
        <f t="shared" si="0"/>
        <v>7</v>
      </c>
      <c r="O13" s="3">
        <v>1</v>
      </c>
      <c r="P13" s="3">
        <v>1</v>
      </c>
      <c r="Q13" s="3">
        <v>0</v>
      </c>
      <c r="R13" s="3">
        <v>1</v>
      </c>
      <c r="S13" s="3">
        <v>1</v>
      </c>
      <c r="T13" s="3">
        <v>1</v>
      </c>
      <c r="U13" s="3">
        <v>1</v>
      </c>
      <c r="V13" s="39">
        <f t="shared" si="1"/>
        <v>6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9">
        <f t="shared" si="2"/>
        <v>7</v>
      </c>
      <c r="AE13" s="3">
        <v>1</v>
      </c>
      <c r="AF13" s="3">
        <v>1</v>
      </c>
      <c r="AG13" s="3">
        <v>1</v>
      </c>
      <c r="AH13" s="3">
        <v>1</v>
      </c>
      <c r="AI13" s="3">
        <v>0</v>
      </c>
      <c r="AJ13" s="3">
        <v>1</v>
      </c>
      <c r="AK13" s="3">
        <v>1</v>
      </c>
      <c r="AL13" s="3">
        <v>1</v>
      </c>
      <c r="AM13" s="43">
        <f t="shared" si="3"/>
        <v>7</v>
      </c>
      <c r="AN13" s="3">
        <v>1</v>
      </c>
      <c r="AO13" s="3">
        <v>0</v>
      </c>
      <c r="AP13" s="3">
        <v>1</v>
      </c>
      <c r="AQ13" s="3">
        <v>0</v>
      </c>
      <c r="AR13" s="3">
        <v>1</v>
      </c>
      <c r="AS13" s="3">
        <v>0</v>
      </c>
      <c r="AT13" s="3">
        <v>0</v>
      </c>
      <c r="AU13" s="3">
        <v>1</v>
      </c>
      <c r="AV13" s="3">
        <v>1</v>
      </c>
      <c r="AW13" s="43">
        <f t="shared" si="4"/>
        <v>5</v>
      </c>
      <c r="AX13" s="3">
        <v>0</v>
      </c>
      <c r="AY13" s="3">
        <v>1</v>
      </c>
      <c r="AZ13" s="3">
        <v>0</v>
      </c>
      <c r="BA13" s="3">
        <v>1</v>
      </c>
      <c r="BB13" s="3">
        <v>0</v>
      </c>
      <c r="BC13" s="3">
        <v>1</v>
      </c>
      <c r="BD13" s="3">
        <v>1</v>
      </c>
      <c r="BE13" s="43">
        <f t="shared" si="5"/>
        <v>4</v>
      </c>
      <c r="BF13" s="3">
        <v>1</v>
      </c>
      <c r="BG13" s="3">
        <v>1</v>
      </c>
      <c r="BH13" s="3">
        <v>1</v>
      </c>
      <c r="BI13" s="3">
        <v>1</v>
      </c>
      <c r="BJ13" s="3">
        <v>1</v>
      </c>
      <c r="BK13" s="3">
        <v>1</v>
      </c>
      <c r="BL13" s="3">
        <v>1</v>
      </c>
      <c r="BM13" s="3">
        <v>1</v>
      </c>
      <c r="BN13" s="43">
        <f t="shared" si="6"/>
        <v>8</v>
      </c>
      <c r="BQ13" s="22">
        <f t="shared" si="7"/>
        <v>44</v>
      </c>
      <c r="BR13" s="22">
        <f t="shared" si="8"/>
        <v>78.571428571428569</v>
      </c>
    </row>
    <row r="14" spans="1:70" ht="18.75" x14ac:dyDescent="0.3">
      <c r="A14" s="2">
        <v>9</v>
      </c>
      <c r="B14" s="16" t="s">
        <v>52</v>
      </c>
      <c r="C14" s="20" t="s">
        <v>53</v>
      </c>
      <c r="D14" s="3">
        <v>0</v>
      </c>
      <c r="E14" s="3">
        <v>1</v>
      </c>
      <c r="F14" s="3">
        <v>1</v>
      </c>
      <c r="G14" s="3">
        <v>0</v>
      </c>
      <c r="H14" s="3">
        <v>1</v>
      </c>
      <c r="I14" s="3">
        <v>1</v>
      </c>
      <c r="J14" s="3">
        <v>1</v>
      </c>
      <c r="K14" s="3">
        <v>0</v>
      </c>
      <c r="L14" s="3">
        <v>1</v>
      </c>
      <c r="M14" s="3">
        <v>1</v>
      </c>
      <c r="N14" s="39">
        <f t="shared" ref="N14:N15" si="21">SUM(D14:M14)</f>
        <v>7</v>
      </c>
      <c r="O14" s="3">
        <v>1</v>
      </c>
      <c r="P14" s="3">
        <v>0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9">
        <f t="shared" ref="V14:V15" si="22">SUM(O14:U14)</f>
        <v>6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9">
        <f t="shared" ref="AD14:AD15" si="23">SUM(W14:AC14)</f>
        <v>7</v>
      </c>
      <c r="AE14" s="3">
        <v>1</v>
      </c>
      <c r="AF14" s="3">
        <v>0</v>
      </c>
      <c r="AG14" s="3">
        <v>1</v>
      </c>
      <c r="AH14" s="3">
        <v>1</v>
      </c>
      <c r="AI14" s="3">
        <v>0</v>
      </c>
      <c r="AJ14" s="3">
        <v>1</v>
      </c>
      <c r="AK14" s="3">
        <v>1</v>
      </c>
      <c r="AL14" s="3">
        <v>1</v>
      </c>
      <c r="AM14" s="43">
        <f t="shared" ref="AM14:AM15" si="24">SUM(AE14:AL14)</f>
        <v>6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43">
        <f t="shared" si="4"/>
        <v>9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43">
        <f t="shared" si="5"/>
        <v>7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43">
        <f t="shared" si="6"/>
        <v>8</v>
      </c>
      <c r="BQ14" s="22">
        <f t="shared" si="7"/>
        <v>50</v>
      </c>
      <c r="BR14" s="22">
        <f t="shared" si="8"/>
        <v>89.285714285714292</v>
      </c>
    </row>
    <row r="15" spans="1:70" ht="18.75" x14ac:dyDescent="0.3">
      <c r="A15" s="2">
        <v>10</v>
      </c>
      <c r="B15" s="16" t="s">
        <v>54</v>
      </c>
      <c r="C15" s="20" t="s">
        <v>55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9">
        <f t="shared" si="21"/>
        <v>10</v>
      </c>
      <c r="O15" s="3">
        <v>1</v>
      </c>
      <c r="P15" s="3">
        <v>1</v>
      </c>
      <c r="Q15" s="3">
        <v>1</v>
      </c>
      <c r="R15" s="3">
        <v>1</v>
      </c>
      <c r="S15" s="3">
        <v>0</v>
      </c>
      <c r="T15" s="3">
        <v>0</v>
      </c>
      <c r="U15" s="3">
        <v>1</v>
      </c>
      <c r="V15" s="39">
        <f t="shared" si="22"/>
        <v>5</v>
      </c>
      <c r="W15" s="3">
        <v>1</v>
      </c>
      <c r="X15" s="3">
        <v>1</v>
      </c>
      <c r="Y15" s="3">
        <v>1</v>
      </c>
      <c r="Z15" s="3">
        <v>1</v>
      </c>
      <c r="AA15" s="3">
        <v>0</v>
      </c>
      <c r="AB15" s="3">
        <v>1</v>
      </c>
      <c r="AC15" s="3">
        <v>1</v>
      </c>
      <c r="AD15" s="39">
        <f t="shared" si="23"/>
        <v>6</v>
      </c>
      <c r="AE15" s="3">
        <v>1</v>
      </c>
      <c r="AF15" s="3">
        <v>0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43">
        <f t="shared" si="24"/>
        <v>7</v>
      </c>
      <c r="AN15" s="3">
        <v>0</v>
      </c>
      <c r="AO15" s="3">
        <v>1</v>
      </c>
      <c r="AP15" s="3">
        <v>0</v>
      </c>
      <c r="AQ15" s="3">
        <v>1</v>
      </c>
      <c r="AR15" s="3">
        <v>0</v>
      </c>
      <c r="AS15" s="3">
        <v>0</v>
      </c>
      <c r="AT15" s="3">
        <v>1</v>
      </c>
      <c r="AU15" s="3">
        <v>1</v>
      </c>
      <c r="AV15" s="3">
        <v>1</v>
      </c>
      <c r="AW15" s="43">
        <f t="shared" si="4"/>
        <v>5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43">
        <f t="shared" si="5"/>
        <v>7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1</v>
      </c>
      <c r="BN15" s="43">
        <f t="shared" si="6"/>
        <v>8</v>
      </c>
      <c r="BQ15" s="22">
        <f t="shared" si="7"/>
        <v>48</v>
      </c>
      <c r="BR15" s="22">
        <f t="shared" si="8"/>
        <v>85.714285714285708</v>
      </c>
    </row>
    <row r="16" spans="1:70" ht="18.75" x14ac:dyDescent="0.3">
      <c r="A16" s="2">
        <v>11</v>
      </c>
      <c r="B16" s="16" t="s">
        <v>56</v>
      </c>
      <c r="C16" s="20" t="s">
        <v>57</v>
      </c>
      <c r="D16" s="3">
        <v>0</v>
      </c>
      <c r="E16" s="3">
        <v>1</v>
      </c>
      <c r="F16" s="3">
        <v>1</v>
      </c>
      <c r="G16" s="3">
        <v>0</v>
      </c>
      <c r="H16" s="3">
        <v>1</v>
      </c>
      <c r="I16" s="3">
        <v>1</v>
      </c>
      <c r="J16" s="3">
        <v>1</v>
      </c>
      <c r="K16" s="3">
        <v>0</v>
      </c>
      <c r="L16" s="3">
        <v>1</v>
      </c>
      <c r="M16" s="3">
        <v>1</v>
      </c>
      <c r="N16" s="39">
        <f t="shared" ref="N16:N17" si="25">SUM(D16:M16)</f>
        <v>7</v>
      </c>
      <c r="O16" s="3">
        <v>1</v>
      </c>
      <c r="P16" s="3">
        <v>0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9">
        <f t="shared" ref="V16:V17" si="26">SUM(O16:U16)</f>
        <v>6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9">
        <f t="shared" ref="AD16:AD17" si="27">SUM(W16:AC16)</f>
        <v>7</v>
      </c>
      <c r="AE16" s="3">
        <v>1</v>
      </c>
      <c r="AF16" s="3">
        <v>0</v>
      </c>
      <c r="AG16" s="3">
        <v>1</v>
      </c>
      <c r="AH16" s="3">
        <v>1</v>
      </c>
      <c r="AI16" s="3">
        <v>0</v>
      </c>
      <c r="AJ16" s="3">
        <v>1</v>
      </c>
      <c r="AK16" s="3">
        <v>1</v>
      </c>
      <c r="AL16" s="3">
        <v>1</v>
      </c>
      <c r="AM16" s="43">
        <f t="shared" ref="AM16:AM17" si="28">SUM(AE16:AL16)</f>
        <v>6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43">
        <f t="shared" si="4"/>
        <v>9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43">
        <f t="shared" si="5"/>
        <v>7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43">
        <f t="shared" si="6"/>
        <v>8</v>
      </c>
      <c r="BQ16" s="22">
        <f t="shared" si="7"/>
        <v>50</v>
      </c>
      <c r="BR16" s="22">
        <f t="shared" si="8"/>
        <v>89.285714285714292</v>
      </c>
    </row>
    <row r="17" spans="1:70" ht="18.75" x14ac:dyDescent="0.3">
      <c r="A17" s="2">
        <v>12</v>
      </c>
      <c r="B17" s="16" t="s">
        <v>58</v>
      </c>
      <c r="C17" s="20" t="s">
        <v>59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I17" s="3">
        <v>1</v>
      </c>
      <c r="J17" s="3">
        <v>1</v>
      </c>
      <c r="K17" s="3">
        <v>0</v>
      </c>
      <c r="L17" s="3">
        <v>1</v>
      </c>
      <c r="M17" s="3">
        <v>1</v>
      </c>
      <c r="N17" s="39">
        <f t="shared" si="25"/>
        <v>7</v>
      </c>
      <c r="O17" s="3">
        <v>1</v>
      </c>
      <c r="P17" s="3">
        <v>1</v>
      </c>
      <c r="Q17" s="3">
        <v>0</v>
      </c>
      <c r="R17" s="3">
        <v>1</v>
      </c>
      <c r="S17" s="3">
        <v>1</v>
      </c>
      <c r="T17" s="3">
        <v>1</v>
      </c>
      <c r="U17" s="3">
        <v>1</v>
      </c>
      <c r="V17" s="39">
        <f t="shared" si="26"/>
        <v>6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9">
        <f t="shared" si="27"/>
        <v>7</v>
      </c>
      <c r="AE17" s="3">
        <v>1</v>
      </c>
      <c r="AF17" s="3">
        <v>1</v>
      </c>
      <c r="AG17" s="3">
        <v>1</v>
      </c>
      <c r="AH17" s="3">
        <v>1</v>
      </c>
      <c r="AI17" s="3">
        <v>0</v>
      </c>
      <c r="AJ17" s="3">
        <v>1</v>
      </c>
      <c r="AK17" s="3">
        <v>1</v>
      </c>
      <c r="AL17" s="3">
        <v>1</v>
      </c>
      <c r="AM17" s="43">
        <f t="shared" si="28"/>
        <v>7</v>
      </c>
      <c r="AN17" s="3">
        <v>1</v>
      </c>
      <c r="AO17" s="3">
        <v>1</v>
      </c>
      <c r="AP17" s="3">
        <v>1</v>
      </c>
      <c r="AQ17" s="3">
        <v>0</v>
      </c>
      <c r="AR17" s="3">
        <v>1</v>
      </c>
      <c r="AS17" s="3">
        <v>0</v>
      </c>
      <c r="AT17" s="3">
        <v>1</v>
      </c>
      <c r="AU17" s="3">
        <v>0</v>
      </c>
      <c r="AV17" s="3">
        <v>0</v>
      </c>
      <c r="AW17" s="43">
        <f t="shared" si="4"/>
        <v>5</v>
      </c>
      <c r="AX17" s="3">
        <v>1</v>
      </c>
      <c r="AY17" s="3">
        <v>1</v>
      </c>
      <c r="AZ17" s="3">
        <v>0</v>
      </c>
      <c r="BA17" s="3">
        <v>1</v>
      </c>
      <c r="BB17" s="3">
        <v>0</v>
      </c>
      <c r="BC17" s="3">
        <v>1</v>
      </c>
      <c r="BD17" s="3">
        <v>0</v>
      </c>
      <c r="BE17" s="43">
        <f t="shared" si="5"/>
        <v>4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43">
        <f t="shared" si="6"/>
        <v>8</v>
      </c>
      <c r="BQ17" s="22">
        <f t="shared" si="7"/>
        <v>44</v>
      </c>
      <c r="BR17" s="22">
        <f t="shared" si="8"/>
        <v>78.571428571428569</v>
      </c>
    </row>
    <row r="18" spans="1:70" ht="18.75" x14ac:dyDescent="0.3">
      <c r="A18" s="2">
        <v>13</v>
      </c>
      <c r="B18" s="16" t="s">
        <v>60</v>
      </c>
      <c r="C18" s="20" t="s">
        <v>61</v>
      </c>
      <c r="D18" s="3">
        <v>0</v>
      </c>
      <c r="E18" s="3">
        <v>1</v>
      </c>
      <c r="F18" s="3">
        <v>1</v>
      </c>
      <c r="G18" s="3">
        <v>0</v>
      </c>
      <c r="H18" s="3">
        <v>1</v>
      </c>
      <c r="I18" s="3">
        <v>1</v>
      </c>
      <c r="J18" s="3">
        <v>1</v>
      </c>
      <c r="K18" s="3">
        <v>0</v>
      </c>
      <c r="L18" s="3">
        <v>1</v>
      </c>
      <c r="M18" s="3">
        <v>1</v>
      </c>
      <c r="N18" s="39">
        <f t="shared" ref="N18" si="29">SUM(D18:M18)</f>
        <v>7</v>
      </c>
      <c r="O18" s="3">
        <v>1</v>
      </c>
      <c r="P18" s="3">
        <v>0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9">
        <f t="shared" ref="V18:V19" si="30">SUM(O18:U18)</f>
        <v>6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9">
        <f t="shared" ref="AD18:AD19" si="31">SUM(W18:AC18)</f>
        <v>7</v>
      </c>
      <c r="AE18" s="3">
        <v>1</v>
      </c>
      <c r="AF18" s="3">
        <v>0</v>
      </c>
      <c r="AG18" s="3">
        <v>1</v>
      </c>
      <c r="AH18" s="3">
        <v>1</v>
      </c>
      <c r="AI18" s="3">
        <v>0</v>
      </c>
      <c r="AJ18" s="3">
        <v>1</v>
      </c>
      <c r="AK18" s="3">
        <v>1</v>
      </c>
      <c r="AL18" s="3">
        <v>1</v>
      </c>
      <c r="AM18" s="43">
        <f t="shared" ref="AM18" si="32">SUM(AE18:AL18)</f>
        <v>6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43">
        <f t="shared" si="4"/>
        <v>9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43">
        <f t="shared" si="5"/>
        <v>7</v>
      </c>
      <c r="BF18" s="3">
        <v>1</v>
      </c>
      <c r="BG18" s="3">
        <v>1</v>
      </c>
      <c r="BH18" s="3">
        <v>1</v>
      </c>
      <c r="BI18" s="3">
        <v>1</v>
      </c>
      <c r="BJ18" s="3">
        <v>1</v>
      </c>
      <c r="BK18" s="3">
        <v>1</v>
      </c>
      <c r="BL18" s="3">
        <v>1</v>
      </c>
      <c r="BM18" s="3">
        <v>1</v>
      </c>
      <c r="BN18" s="43">
        <f t="shared" si="6"/>
        <v>8</v>
      </c>
      <c r="BQ18" s="22">
        <f t="shared" si="7"/>
        <v>50</v>
      </c>
      <c r="BR18" s="22">
        <f t="shared" si="8"/>
        <v>89.285714285714292</v>
      </c>
    </row>
    <row r="19" spans="1:70" ht="18.75" x14ac:dyDescent="0.3">
      <c r="A19" s="2">
        <v>14</v>
      </c>
      <c r="B19" s="16" t="s">
        <v>62</v>
      </c>
      <c r="C19" s="20" t="s">
        <v>63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9">
        <f t="shared" si="0"/>
        <v>10</v>
      </c>
      <c r="O19" s="3">
        <v>1</v>
      </c>
      <c r="P19" s="3">
        <v>1</v>
      </c>
      <c r="Q19" s="3">
        <v>1</v>
      </c>
      <c r="R19" s="3">
        <v>1</v>
      </c>
      <c r="S19" s="3">
        <v>0</v>
      </c>
      <c r="T19" s="3">
        <v>1</v>
      </c>
      <c r="U19" s="3">
        <v>1</v>
      </c>
      <c r="V19" s="39">
        <f t="shared" si="30"/>
        <v>6</v>
      </c>
      <c r="W19" s="3">
        <v>1</v>
      </c>
      <c r="X19" s="3">
        <v>1</v>
      </c>
      <c r="Y19" s="3">
        <v>0</v>
      </c>
      <c r="Z19" s="3">
        <v>1</v>
      </c>
      <c r="AA19" s="3">
        <v>1</v>
      </c>
      <c r="AB19" s="3">
        <v>1</v>
      </c>
      <c r="AC19" s="3">
        <v>1</v>
      </c>
      <c r="AD19" s="39">
        <f t="shared" si="31"/>
        <v>6</v>
      </c>
      <c r="AE19" s="3">
        <v>1</v>
      </c>
      <c r="AF19" s="3">
        <v>1</v>
      </c>
      <c r="AG19" s="3">
        <v>1</v>
      </c>
      <c r="AH19" s="3">
        <v>0</v>
      </c>
      <c r="AI19" s="3">
        <v>1</v>
      </c>
      <c r="AJ19" s="3">
        <v>1</v>
      </c>
      <c r="AK19" s="3">
        <v>1</v>
      </c>
      <c r="AL19" s="3">
        <v>1</v>
      </c>
      <c r="AM19" s="43">
        <f t="shared" si="3"/>
        <v>7</v>
      </c>
      <c r="AN19" s="3">
        <v>0</v>
      </c>
      <c r="AO19" s="3">
        <v>1</v>
      </c>
      <c r="AP19" s="3">
        <v>0</v>
      </c>
      <c r="AQ19" s="3">
        <v>1</v>
      </c>
      <c r="AR19" s="3">
        <v>0</v>
      </c>
      <c r="AS19" s="3">
        <v>0</v>
      </c>
      <c r="AT19" s="3">
        <v>1</v>
      </c>
      <c r="AU19" s="3">
        <v>1</v>
      </c>
      <c r="AV19" s="3">
        <v>1</v>
      </c>
      <c r="AW19" s="43">
        <f t="shared" si="4"/>
        <v>5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43">
        <f t="shared" si="5"/>
        <v>7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43">
        <f t="shared" si="6"/>
        <v>8</v>
      </c>
      <c r="BQ19" s="22">
        <f t="shared" si="7"/>
        <v>49</v>
      </c>
      <c r="BR19" s="22">
        <f t="shared" si="8"/>
        <v>87.5</v>
      </c>
    </row>
    <row r="20" spans="1:70" ht="18.75" x14ac:dyDescent="0.3">
      <c r="A20" s="2">
        <v>15</v>
      </c>
      <c r="B20" s="16" t="s">
        <v>64</v>
      </c>
      <c r="C20" s="20" t="s">
        <v>65</v>
      </c>
      <c r="D20" s="3">
        <v>0</v>
      </c>
      <c r="E20" s="3">
        <v>1</v>
      </c>
      <c r="F20" s="3">
        <v>1</v>
      </c>
      <c r="G20" s="3">
        <v>0</v>
      </c>
      <c r="H20" s="3">
        <v>1</v>
      </c>
      <c r="I20" s="3">
        <v>1</v>
      </c>
      <c r="J20" s="3">
        <v>1</v>
      </c>
      <c r="K20" s="3">
        <v>0</v>
      </c>
      <c r="L20" s="3">
        <v>1</v>
      </c>
      <c r="M20" s="3">
        <v>1</v>
      </c>
      <c r="N20" s="39">
        <f t="shared" ref="N20" si="33">SUM(D20:M20)</f>
        <v>7</v>
      </c>
      <c r="O20" s="3">
        <v>1</v>
      </c>
      <c r="P20" s="3">
        <v>1</v>
      </c>
      <c r="Q20" s="3">
        <v>0</v>
      </c>
      <c r="R20" s="3">
        <v>1</v>
      </c>
      <c r="S20" s="3">
        <v>1</v>
      </c>
      <c r="T20" s="3">
        <v>1</v>
      </c>
      <c r="U20" s="3">
        <v>1</v>
      </c>
      <c r="V20" s="39">
        <f t="shared" ref="V20" si="34">SUM(O20:U20)</f>
        <v>6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9">
        <f t="shared" ref="AD20" si="35">SUM(W20:AC20)</f>
        <v>7</v>
      </c>
      <c r="AE20" s="3">
        <v>1</v>
      </c>
      <c r="AF20" s="3">
        <v>1</v>
      </c>
      <c r="AG20" s="3">
        <v>1</v>
      </c>
      <c r="AH20" s="3">
        <v>1</v>
      </c>
      <c r="AI20" s="3">
        <v>0</v>
      </c>
      <c r="AJ20" s="3">
        <v>1</v>
      </c>
      <c r="AK20" s="3">
        <v>1</v>
      </c>
      <c r="AL20" s="3">
        <v>1</v>
      </c>
      <c r="AM20" s="43">
        <f t="shared" ref="AM20" si="36">SUM(AE20:AL20)</f>
        <v>7</v>
      </c>
      <c r="AN20" s="3">
        <v>1</v>
      </c>
      <c r="AO20" s="3">
        <v>1</v>
      </c>
      <c r="AP20" s="3">
        <v>1</v>
      </c>
      <c r="AQ20" s="3">
        <v>0</v>
      </c>
      <c r="AR20" s="3">
        <v>1</v>
      </c>
      <c r="AS20" s="3">
        <v>0</v>
      </c>
      <c r="AT20" s="3">
        <v>1</v>
      </c>
      <c r="AU20" s="3">
        <v>0</v>
      </c>
      <c r="AV20" s="3">
        <v>0</v>
      </c>
      <c r="AW20" s="43">
        <f t="shared" si="4"/>
        <v>5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1</v>
      </c>
      <c r="BD20" s="3">
        <v>1</v>
      </c>
      <c r="BE20" s="43">
        <f t="shared" si="5"/>
        <v>7</v>
      </c>
      <c r="BF20" s="3">
        <v>0</v>
      </c>
      <c r="BG20" s="3">
        <v>1</v>
      </c>
      <c r="BH20" s="3">
        <v>0</v>
      </c>
      <c r="BI20" s="3">
        <v>1</v>
      </c>
      <c r="BJ20" s="3">
        <v>0</v>
      </c>
      <c r="BK20" s="3">
        <v>1</v>
      </c>
      <c r="BL20" s="3">
        <v>1</v>
      </c>
      <c r="BM20" s="3">
        <v>1</v>
      </c>
      <c r="BN20" s="43">
        <f t="shared" si="6"/>
        <v>5</v>
      </c>
      <c r="BQ20" s="22">
        <f t="shared" si="7"/>
        <v>44</v>
      </c>
      <c r="BR20" s="22">
        <f t="shared" si="8"/>
        <v>78.571428571428569</v>
      </c>
    </row>
    <row r="21" spans="1:70" ht="18.75" x14ac:dyDescent="0.3">
      <c r="A21" s="2">
        <v>16</v>
      </c>
      <c r="B21" s="16" t="s">
        <v>66</v>
      </c>
      <c r="C21" s="20" t="s">
        <v>67</v>
      </c>
      <c r="D21" s="3">
        <v>0</v>
      </c>
      <c r="E21" s="3">
        <v>1</v>
      </c>
      <c r="F21" s="3">
        <v>1</v>
      </c>
      <c r="G21" s="3">
        <v>0</v>
      </c>
      <c r="H21" s="3">
        <v>1</v>
      </c>
      <c r="I21" s="3">
        <v>1</v>
      </c>
      <c r="J21" s="3">
        <v>1</v>
      </c>
      <c r="K21" s="3">
        <v>0</v>
      </c>
      <c r="L21" s="3">
        <v>1</v>
      </c>
      <c r="M21" s="3">
        <v>1</v>
      </c>
      <c r="N21" s="39">
        <f t="shared" ref="N21:N22" si="37">SUM(D21:M21)</f>
        <v>7</v>
      </c>
      <c r="O21" s="3">
        <v>1</v>
      </c>
      <c r="P21" s="3">
        <v>0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9">
        <f t="shared" ref="V21:V23" si="38">SUM(O21:U21)</f>
        <v>6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9">
        <f t="shared" ref="AD21:AD23" si="39">SUM(W21:AC21)</f>
        <v>7</v>
      </c>
      <c r="AE21" s="3">
        <v>1</v>
      </c>
      <c r="AF21" s="3">
        <v>0</v>
      </c>
      <c r="AG21" s="3">
        <v>1</v>
      </c>
      <c r="AH21" s="3">
        <v>1</v>
      </c>
      <c r="AI21" s="3">
        <v>0</v>
      </c>
      <c r="AJ21" s="3">
        <v>1</v>
      </c>
      <c r="AK21" s="3">
        <v>1</v>
      </c>
      <c r="AL21" s="3">
        <v>1</v>
      </c>
      <c r="AM21" s="43">
        <f t="shared" ref="AM21:AM22" si="40">SUM(AE21:AL21)</f>
        <v>6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43">
        <f t="shared" si="4"/>
        <v>9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43">
        <f t="shared" si="5"/>
        <v>7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43">
        <f t="shared" si="6"/>
        <v>8</v>
      </c>
      <c r="BQ21" s="22">
        <f t="shared" si="7"/>
        <v>50</v>
      </c>
      <c r="BR21" s="22">
        <f t="shared" si="8"/>
        <v>89.285714285714292</v>
      </c>
    </row>
    <row r="22" spans="1:70" ht="18.75" x14ac:dyDescent="0.3">
      <c r="A22" s="2">
        <v>17</v>
      </c>
      <c r="B22" s="16" t="s">
        <v>68</v>
      </c>
      <c r="C22" s="20" t="s">
        <v>69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9">
        <f t="shared" si="37"/>
        <v>10</v>
      </c>
      <c r="O22" s="3">
        <v>1</v>
      </c>
      <c r="P22" s="3">
        <v>1</v>
      </c>
      <c r="Q22" s="3">
        <v>1</v>
      </c>
      <c r="R22" s="3">
        <v>1</v>
      </c>
      <c r="S22" s="3">
        <v>0</v>
      </c>
      <c r="T22" s="3">
        <v>0</v>
      </c>
      <c r="U22" s="3">
        <v>1</v>
      </c>
      <c r="V22" s="39">
        <f t="shared" si="38"/>
        <v>5</v>
      </c>
      <c r="W22" s="3">
        <v>1</v>
      </c>
      <c r="X22" s="3">
        <v>1</v>
      </c>
      <c r="Y22" s="3">
        <v>1</v>
      </c>
      <c r="Z22" s="3">
        <v>1</v>
      </c>
      <c r="AA22" s="3">
        <v>0</v>
      </c>
      <c r="AB22" s="3">
        <v>1</v>
      </c>
      <c r="AC22" s="3">
        <v>1</v>
      </c>
      <c r="AD22" s="39">
        <f t="shared" si="39"/>
        <v>6</v>
      </c>
      <c r="AE22" s="3">
        <v>1</v>
      </c>
      <c r="AF22" s="3">
        <v>0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43">
        <f t="shared" si="40"/>
        <v>7</v>
      </c>
      <c r="AN22" s="3">
        <v>0</v>
      </c>
      <c r="AO22" s="3">
        <v>1</v>
      </c>
      <c r="AP22" s="3">
        <v>0</v>
      </c>
      <c r="AQ22" s="3">
        <v>1</v>
      </c>
      <c r="AR22" s="3">
        <v>0</v>
      </c>
      <c r="AS22" s="3">
        <v>0</v>
      </c>
      <c r="AT22" s="3">
        <v>1</v>
      </c>
      <c r="AU22" s="3">
        <v>1</v>
      </c>
      <c r="AV22" s="3">
        <v>1</v>
      </c>
      <c r="AW22" s="43">
        <f t="shared" si="4"/>
        <v>5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43">
        <f t="shared" si="5"/>
        <v>7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43">
        <f t="shared" si="6"/>
        <v>8</v>
      </c>
      <c r="BQ22" s="22">
        <f t="shared" si="7"/>
        <v>48</v>
      </c>
      <c r="BR22" s="22">
        <f t="shared" si="8"/>
        <v>85.714285714285708</v>
      </c>
    </row>
    <row r="23" spans="1:70" ht="18.75" x14ac:dyDescent="0.3">
      <c r="A23" s="2">
        <v>18</v>
      </c>
      <c r="B23" s="16" t="s">
        <v>70</v>
      </c>
      <c r="C23" s="20" t="s">
        <v>71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9">
        <f t="shared" si="0"/>
        <v>10</v>
      </c>
      <c r="O23" s="3">
        <v>1</v>
      </c>
      <c r="P23" s="3">
        <v>1</v>
      </c>
      <c r="Q23" s="3">
        <v>1</v>
      </c>
      <c r="R23" s="3">
        <v>1</v>
      </c>
      <c r="S23" s="3">
        <v>0</v>
      </c>
      <c r="T23" s="3">
        <v>1</v>
      </c>
      <c r="U23" s="3">
        <v>1</v>
      </c>
      <c r="V23" s="39">
        <f t="shared" si="38"/>
        <v>6</v>
      </c>
      <c r="W23" s="3">
        <v>1</v>
      </c>
      <c r="X23" s="3">
        <v>1</v>
      </c>
      <c r="Y23" s="3">
        <v>0</v>
      </c>
      <c r="Z23" s="3">
        <v>1</v>
      </c>
      <c r="AA23" s="3">
        <v>1</v>
      </c>
      <c r="AB23" s="3">
        <v>1</v>
      </c>
      <c r="AC23" s="3">
        <v>1</v>
      </c>
      <c r="AD23" s="39">
        <f t="shared" si="39"/>
        <v>6</v>
      </c>
      <c r="AE23" s="3">
        <v>1</v>
      </c>
      <c r="AF23" s="3">
        <v>1</v>
      </c>
      <c r="AG23" s="3">
        <v>1</v>
      </c>
      <c r="AH23" s="3">
        <v>0</v>
      </c>
      <c r="AI23" s="3">
        <v>1</v>
      </c>
      <c r="AJ23" s="3">
        <v>1</v>
      </c>
      <c r="AK23" s="3">
        <v>1</v>
      </c>
      <c r="AL23" s="3">
        <v>1</v>
      </c>
      <c r="AM23" s="43">
        <f t="shared" si="3"/>
        <v>7</v>
      </c>
      <c r="AN23" s="3">
        <v>1</v>
      </c>
      <c r="AO23" s="3">
        <v>0</v>
      </c>
      <c r="AP23" s="3">
        <v>1</v>
      </c>
      <c r="AQ23" s="3">
        <v>0</v>
      </c>
      <c r="AR23" s="3">
        <v>1</v>
      </c>
      <c r="AS23" s="3">
        <v>0</v>
      </c>
      <c r="AT23" s="3">
        <v>0</v>
      </c>
      <c r="AU23" s="3">
        <v>1</v>
      </c>
      <c r="AV23" s="3">
        <v>1</v>
      </c>
      <c r="AW23" s="43">
        <f t="shared" si="4"/>
        <v>5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43">
        <f t="shared" si="5"/>
        <v>7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43">
        <f t="shared" si="6"/>
        <v>8</v>
      </c>
      <c r="BQ23" s="22">
        <f t="shared" si="7"/>
        <v>49</v>
      </c>
      <c r="BR23" s="22">
        <f t="shared" si="8"/>
        <v>87.5</v>
      </c>
    </row>
    <row r="24" spans="1:70" ht="18.75" x14ac:dyDescent="0.3">
      <c r="A24" s="2">
        <v>19</v>
      </c>
      <c r="B24" s="16" t="s">
        <v>72</v>
      </c>
      <c r="C24" s="20" t="s">
        <v>73</v>
      </c>
      <c r="D24" s="3">
        <v>0</v>
      </c>
      <c r="E24" s="3">
        <v>1</v>
      </c>
      <c r="F24" s="3">
        <v>1</v>
      </c>
      <c r="G24" s="3">
        <v>0</v>
      </c>
      <c r="H24" s="3">
        <v>1</v>
      </c>
      <c r="I24" s="3">
        <v>1</v>
      </c>
      <c r="J24" s="3">
        <v>1</v>
      </c>
      <c r="K24" s="3">
        <v>0</v>
      </c>
      <c r="L24" s="3">
        <v>1</v>
      </c>
      <c r="M24" s="3">
        <v>1</v>
      </c>
      <c r="N24" s="39">
        <f t="shared" ref="N24:N26" si="41">SUM(D24:M24)</f>
        <v>7</v>
      </c>
      <c r="O24" s="3">
        <v>1</v>
      </c>
      <c r="P24" s="3">
        <v>0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9">
        <f t="shared" ref="V24:V26" si="42">SUM(O24:U24)</f>
        <v>6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9">
        <f t="shared" ref="AD24:AD26" si="43">SUM(W24:AC24)</f>
        <v>7</v>
      </c>
      <c r="AE24" s="3">
        <v>1</v>
      </c>
      <c r="AF24" s="3">
        <v>0</v>
      </c>
      <c r="AG24" s="3">
        <v>1</v>
      </c>
      <c r="AH24" s="3">
        <v>1</v>
      </c>
      <c r="AI24" s="3">
        <v>0</v>
      </c>
      <c r="AJ24" s="3">
        <v>1</v>
      </c>
      <c r="AK24" s="3">
        <v>1</v>
      </c>
      <c r="AL24" s="3">
        <v>1</v>
      </c>
      <c r="AM24" s="43">
        <f t="shared" ref="AM24:AM26" si="44">SUM(AE24:AL24)</f>
        <v>6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43">
        <f t="shared" si="4"/>
        <v>9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43">
        <f t="shared" si="5"/>
        <v>7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3">
        <v>1</v>
      </c>
      <c r="BN24" s="43">
        <f t="shared" si="6"/>
        <v>8</v>
      </c>
      <c r="BQ24" s="22">
        <f t="shared" si="7"/>
        <v>50</v>
      </c>
      <c r="BR24" s="22">
        <f t="shared" si="8"/>
        <v>89.285714285714292</v>
      </c>
    </row>
    <row r="25" spans="1:70" ht="18.75" x14ac:dyDescent="0.3">
      <c r="A25" s="2">
        <v>20</v>
      </c>
      <c r="B25" s="16" t="s">
        <v>74</v>
      </c>
      <c r="C25" s="20" t="s">
        <v>75</v>
      </c>
      <c r="D25" s="3">
        <v>0</v>
      </c>
      <c r="E25" s="3">
        <v>1</v>
      </c>
      <c r="F25" s="3">
        <v>1</v>
      </c>
      <c r="G25" s="3">
        <v>0</v>
      </c>
      <c r="H25" s="3">
        <v>1</v>
      </c>
      <c r="I25" s="3">
        <v>1</v>
      </c>
      <c r="J25" s="3">
        <v>1</v>
      </c>
      <c r="K25" s="3">
        <v>0</v>
      </c>
      <c r="L25" s="3">
        <v>1</v>
      </c>
      <c r="M25" s="3">
        <v>1</v>
      </c>
      <c r="N25" s="39">
        <f t="shared" si="41"/>
        <v>7</v>
      </c>
      <c r="O25" s="3">
        <v>1</v>
      </c>
      <c r="P25" s="3">
        <v>1</v>
      </c>
      <c r="Q25" s="3">
        <v>0</v>
      </c>
      <c r="R25" s="3">
        <v>1</v>
      </c>
      <c r="S25" s="3">
        <v>1</v>
      </c>
      <c r="T25" s="3">
        <v>1</v>
      </c>
      <c r="U25" s="3">
        <v>1</v>
      </c>
      <c r="V25" s="39">
        <f t="shared" si="42"/>
        <v>6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9">
        <f t="shared" si="43"/>
        <v>7</v>
      </c>
      <c r="AE25" s="3">
        <v>1</v>
      </c>
      <c r="AF25" s="3">
        <v>1</v>
      </c>
      <c r="AG25" s="3">
        <v>1</v>
      </c>
      <c r="AH25" s="3">
        <v>1</v>
      </c>
      <c r="AI25" s="3">
        <v>0</v>
      </c>
      <c r="AJ25" s="3">
        <v>1</v>
      </c>
      <c r="AK25" s="3">
        <v>1</v>
      </c>
      <c r="AL25" s="3">
        <v>1</v>
      </c>
      <c r="AM25" s="43">
        <f t="shared" si="44"/>
        <v>7</v>
      </c>
      <c r="AN25" s="3">
        <v>1</v>
      </c>
      <c r="AO25" s="3">
        <v>1</v>
      </c>
      <c r="AP25" s="3">
        <v>0</v>
      </c>
      <c r="AQ25" s="3">
        <v>1</v>
      </c>
      <c r="AR25" s="3">
        <v>0</v>
      </c>
      <c r="AS25" s="3">
        <v>1</v>
      </c>
      <c r="AT25" s="3">
        <v>0</v>
      </c>
      <c r="AU25" s="3">
        <v>0</v>
      </c>
      <c r="AV25" s="3">
        <v>1</v>
      </c>
      <c r="AW25" s="43">
        <f t="shared" si="4"/>
        <v>5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1</v>
      </c>
      <c r="BD25" s="3">
        <v>1</v>
      </c>
      <c r="BE25" s="43">
        <f t="shared" si="5"/>
        <v>7</v>
      </c>
      <c r="BF25" s="3">
        <v>1</v>
      </c>
      <c r="BG25" s="3">
        <v>0</v>
      </c>
      <c r="BH25" s="3">
        <v>1</v>
      </c>
      <c r="BI25" s="3">
        <v>0</v>
      </c>
      <c r="BJ25" s="3">
        <v>1</v>
      </c>
      <c r="BK25" s="3">
        <v>0</v>
      </c>
      <c r="BL25" s="3">
        <v>1</v>
      </c>
      <c r="BM25" s="3">
        <v>1</v>
      </c>
      <c r="BN25" s="43">
        <f t="shared" si="6"/>
        <v>5</v>
      </c>
      <c r="BQ25" s="22">
        <f t="shared" si="7"/>
        <v>44</v>
      </c>
      <c r="BR25" s="22">
        <f t="shared" si="8"/>
        <v>78.571428571428569</v>
      </c>
    </row>
    <row r="26" spans="1:70" ht="18.75" x14ac:dyDescent="0.3">
      <c r="A26" s="2">
        <v>21</v>
      </c>
      <c r="B26" s="16" t="s">
        <v>76</v>
      </c>
      <c r="C26" s="20" t="s">
        <v>77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9">
        <f t="shared" si="41"/>
        <v>10</v>
      </c>
      <c r="O26" s="3">
        <v>1</v>
      </c>
      <c r="P26" s="3">
        <v>1</v>
      </c>
      <c r="Q26" s="3">
        <v>1</v>
      </c>
      <c r="R26" s="3">
        <v>1</v>
      </c>
      <c r="S26" s="3">
        <v>0</v>
      </c>
      <c r="T26" s="3">
        <v>0</v>
      </c>
      <c r="U26" s="3">
        <v>1</v>
      </c>
      <c r="V26" s="39">
        <f t="shared" si="42"/>
        <v>5</v>
      </c>
      <c r="W26" s="3">
        <v>1</v>
      </c>
      <c r="X26" s="3">
        <v>1</v>
      </c>
      <c r="Y26" s="3">
        <v>1</v>
      </c>
      <c r="Z26" s="3">
        <v>1</v>
      </c>
      <c r="AA26" s="3">
        <v>0</v>
      </c>
      <c r="AB26" s="3">
        <v>1</v>
      </c>
      <c r="AC26" s="3">
        <v>1</v>
      </c>
      <c r="AD26" s="39">
        <f t="shared" si="43"/>
        <v>6</v>
      </c>
      <c r="AE26" s="3">
        <v>1</v>
      </c>
      <c r="AF26" s="3">
        <v>0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43">
        <f t="shared" si="44"/>
        <v>7</v>
      </c>
      <c r="AN26" s="3">
        <v>1</v>
      </c>
      <c r="AO26" s="3">
        <v>1</v>
      </c>
      <c r="AP26" s="3">
        <v>1</v>
      </c>
      <c r="AQ26" s="3">
        <v>0</v>
      </c>
      <c r="AR26" s="3">
        <v>1</v>
      </c>
      <c r="AS26" s="3">
        <v>0</v>
      </c>
      <c r="AT26" s="3">
        <v>1</v>
      </c>
      <c r="AU26" s="3">
        <v>0</v>
      </c>
      <c r="AV26" s="3">
        <v>0</v>
      </c>
      <c r="AW26" s="43">
        <f t="shared" si="4"/>
        <v>5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43">
        <f t="shared" si="5"/>
        <v>7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43">
        <f t="shared" si="6"/>
        <v>8</v>
      </c>
      <c r="BQ26" s="22">
        <f t="shared" si="7"/>
        <v>48</v>
      </c>
      <c r="BR26" s="22">
        <f t="shared" si="8"/>
        <v>85.714285714285708</v>
      </c>
    </row>
    <row r="27" spans="1:70" ht="18" x14ac:dyDescent="0.35">
      <c r="A27" s="2">
        <v>22</v>
      </c>
      <c r="B27" s="16" t="s">
        <v>78</v>
      </c>
      <c r="C27" s="20" t="s">
        <v>79</v>
      </c>
      <c r="D27" s="3">
        <v>0</v>
      </c>
      <c r="E27" s="3">
        <v>1</v>
      </c>
      <c r="F27" s="3">
        <v>1</v>
      </c>
      <c r="G27" s="3">
        <v>0</v>
      </c>
      <c r="H27" s="3">
        <v>1</v>
      </c>
      <c r="I27" s="3">
        <v>1</v>
      </c>
      <c r="J27" s="3">
        <v>1</v>
      </c>
      <c r="K27" s="3">
        <v>0</v>
      </c>
      <c r="L27" s="3">
        <v>1</v>
      </c>
      <c r="M27" s="3">
        <v>1</v>
      </c>
      <c r="N27" s="39">
        <f t="shared" ref="N27" si="45">SUM(D27:M27)</f>
        <v>7</v>
      </c>
      <c r="O27" s="3">
        <v>1</v>
      </c>
      <c r="P27" s="3">
        <v>0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9">
        <f t="shared" ref="V27:V28" si="46">SUM(O27:U27)</f>
        <v>6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9">
        <f t="shared" ref="AD27:AD28" si="47">SUM(W27:AC27)</f>
        <v>7</v>
      </c>
      <c r="AE27" s="3">
        <v>1</v>
      </c>
      <c r="AF27" s="3">
        <v>0</v>
      </c>
      <c r="AG27" s="3">
        <v>1</v>
      </c>
      <c r="AH27" s="3">
        <v>1</v>
      </c>
      <c r="AI27" s="3">
        <v>0</v>
      </c>
      <c r="AJ27" s="3">
        <v>1</v>
      </c>
      <c r="AK27" s="3">
        <v>1</v>
      </c>
      <c r="AL27" s="3">
        <v>1</v>
      </c>
      <c r="AM27" s="43">
        <f t="shared" ref="AM27" si="48">SUM(AE27:AL27)</f>
        <v>6</v>
      </c>
      <c r="AN27" s="3">
        <v>1</v>
      </c>
      <c r="AO27" s="3">
        <v>1</v>
      </c>
      <c r="AP27" s="3">
        <v>1</v>
      </c>
      <c r="AQ27" s="3">
        <v>1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43">
        <f t="shared" si="4"/>
        <v>9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1</v>
      </c>
      <c r="BE27" s="43">
        <f t="shared" si="5"/>
        <v>7</v>
      </c>
      <c r="BF27" s="3">
        <v>1</v>
      </c>
      <c r="BG27" s="3">
        <v>1</v>
      </c>
      <c r="BH27" s="3">
        <v>1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43">
        <f t="shared" si="6"/>
        <v>8</v>
      </c>
      <c r="BQ27" s="22">
        <f t="shared" si="7"/>
        <v>50</v>
      </c>
      <c r="BR27" s="22">
        <f t="shared" si="8"/>
        <v>89.285714285714292</v>
      </c>
    </row>
    <row r="28" spans="1:70" ht="18" x14ac:dyDescent="0.35">
      <c r="A28" s="2">
        <v>23</v>
      </c>
      <c r="B28" s="16" t="s">
        <v>80</v>
      </c>
      <c r="C28" s="20" t="s">
        <v>81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9">
        <f t="shared" si="0"/>
        <v>10</v>
      </c>
      <c r="O28" s="3">
        <v>1</v>
      </c>
      <c r="P28" s="3">
        <v>1</v>
      </c>
      <c r="Q28" s="3">
        <v>1</v>
      </c>
      <c r="R28" s="3">
        <v>1</v>
      </c>
      <c r="S28" s="3">
        <v>0</v>
      </c>
      <c r="T28" s="3">
        <v>1</v>
      </c>
      <c r="U28" s="3">
        <v>1</v>
      </c>
      <c r="V28" s="39">
        <f t="shared" si="46"/>
        <v>6</v>
      </c>
      <c r="W28" s="3">
        <v>1</v>
      </c>
      <c r="X28" s="3">
        <v>1</v>
      </c>
      <c r="Y28" s="3">
        <v>0</v>
      </c>
      <c r="Z28" s="3">
        <v>1</v>
      </c>
      <c r="AA28" s="3">
        <v>1</v>
      </c>
      <c r="AB28" s="3">
        <v>1</v>
      </c>
      <c r="AC28" s="3">
        <v>1</v>
      </c>
      <c r="AD28" s="39">
        <f t="shared" si="47"/>
        <v>6</v>
      </c>
      <c r="AE28" s="3">
        <v>1</v>
      </c>
      <c r="AF28" s="3">
        <v>1</v>
      </c>
      <c r="AG28" s="3">
        <v>1</v>
      </c>
      <c r="AH28" s="3">
        <v>0</v>
      </c>
      <c r="AI28" s="3">
        <v>1</v>
      </c>
      <c r="AJ28" s="3">
        <v>1</v>
      </c>
      <c r="AK28" s="3">
        <v>1</v>
      </c>
      <c r="AL28" s="3">
        <v>1</v>
      </c>
      <c r="AM28" s="43">
        <f t="shared" si="3"/>
        <v>7</v>
      </c>
      <c r="AN28" s="3">
        <v>0</v>
      </c>
      <c r="AO28" s="3">
        <v>1</v>
      </c>
      <c r="AP28" s="3">
        <v>0</v>
      </c>
      <c r="AQ28" s="3">
        <v>1</v>
      </c>
      <c r="AR28" s="3">
        <v>0</v>
      </c>
      <c r="AS28" s="3">
        <v>0</v>
      </c>
      <c r="AT28" s="3">
        <v>1</v>
      </c>
      <c r="AU28" s="3">
        <v>1</v>
      </c>
      <c r="AV28" s="3">
        <v>1</v>
      </c>
      <c r="AW28" s="43">
        <f t="shared" si="4"/>
        <v>5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43">
        <f t="shared" si="5"/>
        <v>7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43">
        <f t="shared" si="6"/>
        <v>8</v>
      </c>
      <c r="BQ28" s="22">
        <f t="shared" si="7"/>
        <v>49</v>
      </c>
      <c r="BR28" s="22">
        <f t="shared" si="8"/>
        <v>87.5</v>
      </c>
    </row>
    <row r="29" spans="1:70" ht="18" x14ac:dyDescent="0.35">
      <c r="A29" s="2">
        <v>24</v>
      </c>
      <c r="B29" s="16" t="s">
        <v>82</v>
      </c>
      <c r="C29" s="20" t="s">
        <v>83</v>
      </c>
      <c r="D29" s="3">
        <v>0</v>
      </c>
      <c r="E29" s="3">
        <v>1</v>
      </c>
      <c r="F29" s="3">
        <v>1</v>
      </c>
      <c r="G29" s="3">
        <v>0</v>
      </c>
      <c r="H29" s="3">
        <v>1</v>
      </c>
      <c r="I29" s="3">
        <v>1</v>
      </c>
      <c r="J29" s="3">
        <v>1</v>
      </c>
      <c r="K29" s="3">
        <v>0</v>
      </c>
      <c r="L29" s="3">
        <v>1</v>
      </c>
      <c r="M29" s="3">
        <v>1</v>
      </c>
      <c r="N29" s="39">
        <f t="shared" ref="N29:N30" si="49">SUM(D29:M29)</f>
        <v>7</v>
      </c>
      <c r="O29" s="3">
        <v>1</v>
      </c>
      <c r="P29" s="3">
        <v>0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9">
        <f t="shared" ref="V29:V30" si="50">SUM(O29:U29)</f>
        <v>6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9">
        <f t="shared" ref="AD29:AD30" si="51">SUM(W29:AC29)</f>
        <v>7</v>
      </c>
      <c r="AE29" s="3">
        <v>1</v>
      </c>
      <c r="AF29" s="3">
        <v>0</v>
      </c>
      <c r="AG29" s="3">
        <v>1</v>
      </c>
      <c r="AH29" s="3">
        <v>1</v>
      </c>
      <c r="AI29" s="3">
        <v>0</v>
      </c>
      <c r="AJ29" s="3">
        <v>1</v>
      </c>
      <c r="AK29" s="3">
        <v>1</v>
      </c>
      <c r="AL29" s="3">
        <v>1</v>
      </c>
      <c r="AM29" s="43">
        <f t="shared" ref="AM29:AM30" si="52">SUM(AE29:AL29)</f>
        <v>6</v>
      </c>
      <c r="AN29" s="3">
        <v>1</v>
      </c>
      <c r="AO29" s="3">
        <v>1</v>
      </c>
      <c r="AP29" s="3">
        <v>1</v>
      </c>
      <c r="AQ29" s="3">
        <v>1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43">
        <f t="shared" si="4"/>
        <v>9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1</v>
      </c>
      <c r="BE29" s="43">
        <f t="shared" si="5"/>
        <v>7</v>
      </c>
      <c r="BF29" s="3">
        <v>1</v>
      </c>
      <c r="BG29" s="3">
        <v>1</v>
      </c>
      <c r="BH29" s="3">
        <v>1</v>
      </c>
      <c r="BI29" s="3">
        <v>1</v>
      </c>
      <c r="BJ29" s="3">
        <v>1</v>
      </c>
      <c r="BK29" s="3">
        <v>1</v>
      </c>
      <c r="BL29" s="3">
        <v>1</v>
      </c>
      <c r="BM29" s="3">
        <v>1</v>
      </c>
      <c r="BN29" s="43">
        <f t="shared" si="6"/>
        <v>8</v>
      </c>
      <c r="BQ29" s="22">
        <f t="shared" si="7"/>
        <v>50</v>
      </c>
      <c r="BR29" s="22">
        <f t="shared" si="8"/>
        <v>89.285714285714292</v>
      </c>
    </row>
    <row r="30" spans="1:70" ht="18" x14ac:dyDescent="0.35">
      <c r="A30" s="2">
        <v>25</v>
      </c>
      <c r="B30" s="16" t="s">
        <v>84</v>
      </c>
      <c r="C30" s="20" t="s">
        <v>85</v>
      </c>
      <c r="D30" s="3">
        <v>0</v>
      </c>
      <c r="E30" s="3">
        <v>1</v>
      </c>
      <c r="F30" s="3">
        <v>1</v>
      </c>
      <c r="G30" s="3">
        <v>0</v>
      </c>
      <c r="H30" s="3">
        <v>1</v>
      </c>
      <c r="I30" s="3">
        <v>1</v>
      </c>
      <c r="J30" s="3">
        <v>1</v>
      </c>
      <c r="K30" s="3">
        <v>0</v>
      </c>
      <c r="L30" s="3">
        <v>1</v>
      </c>
      <c r="M30" s="3">
        <v>1</v>
      </c>
      <c r="N30" s="39">
        <f t="shared" si="49"/>
        <v>7</v>
      </c>
      <c r="O30" s="3">
        <v>1</v>
      </c>
      <c r="P30" s="3">
        <v>1</v>
      </c>
      <c r="Q30" s="3">
        <v>0</v>
      </c>
      <c r="R30" s="3">
        <v>1</v>
      </c>
      <c r="S30" s="3">
        <v>1</v>
      </c>
      <c r="T30" s="3">
        <v>1</v>
      </c>
      <c r="U30" s="3">
        <v>1</v>
      </c>
      <c r="V30" s="39">
        <f t="shared" si="50"/>
        <v>6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9">
        <f t="shared" si="51"/>
        <v>7</v>
      </c>
      <c r="AE30" s="3">
        <v>1</v>
      </c>
      <c r="AF30" s="3">
        <v>1</v>
      </c>
      <c r="AG30" s="3">
        <v>1</v>
      </c>
      <c r="AH30" s="3">
        <v>1</v>
      </c>
      <c r="AI30" s="3">
        <v>0</v>
      </c>
      <c r="AJ30" s="3">
        <v>1</v>
      </c>
      <c r="AK30" s="3">
        <v>1</v>
      </c>
      <c r="AL30" s="3">
        <v>1</v>
      </c>
      <c r="AM30" s="43">
        <f t="shared" si="52"/>
        <v>7</v>
      </c>
      <c r="AN30" s="3">
        <v>1</v>
      </c>
      <c r="AO30" s="3">
        <v>1</v>
      </c>
      <c r="AP30" s="3">
        <v>0</v>
      </c>
      <c r="AQ30" s="3">
        <v>1</v>
      </c>
      <c r="AR30" s="3">
        <v>0</v>
      </c>
      <c r="AS30" s="3">
        <v>1</v>
      </c>
      <c r="AT30" s="3">
        <v>0</v>
      </c>
      <c r="AU30" s="3">
        <v>0</v>
      </c>
      <c r="AV30" s="3">
        <v>1</v>
      </c>
      <c r="AW30" s="43">
        <f t="shared" si="4"/>
        <v>5</v>
      </c>
      <c r="AX30" s="3">
        <v>1</v>
      </c>
      <c r="AY30" s="3">
        <v>0</v>
      </c>
      <c r="AZ30" s="3">
        <v>1</v>
      </c>
      <c r="BA30" s="3">
        <v>0</v>
      </c>
      <c r="BB30" s="3">
        <v>1</v>
      </c>
      <c r="BC30" s="3">
        <v>0</v>
      </c>
      <c r="BD30" s="3">
        <v>1</v>
      </c>
      <c r="BE30" s="43">
        <f t="shared" si="5"/>
        <v>4</v>
      </c>
      <c r="BF30" s="3">
        <v>1</v>
      </c>
      <c r="BG30" s="3">
        <v>1</v>
      </c>
      <c r="BH30" s="3">
        <v>1</v>
      </c>
      <c r="BI30" s="3">
        <v>1</v>
      </c>
      <c r="BJ30" s="3">
        <v>1</v>
      </c>
      <c r="BK30" s="3">
        <v>1</v>
      </c>
      <c r="BL30" s="3">
        <v>1</v>
      </c>
      <c r="BM30" s="3">
        <v>1</v>
      </c>
      <c r="BN30" s="43">
        <f t="shared" si="6"/>
        <v>8</v>
      </c>
      <c r="BQ30" s="22">
        <f t="shared" si="7"/>
        <v>44</v>
      </c>
      <c r="BR30" s="22">
        <f t="shared" si="8"/>
        <v>78.571428571428569</v>
      </c>
    </row>
    <row r="31" spans="1:70" ht="18" x14ac:dyDescent="0.35">
      <c r="A31" s="2">
        <v>26</v>
      </c>
      <c r="B31" s="16" t="s">
        <v>86</v>
      </c>
      <c r="C31" s="20" t="s">
        <v>87</v>
      </c>
      <c r="D31" s="3">
        <v>0</v>
      </c>
      <c r="E31" s="3">
        <v>1</v>
      </c>
      <c r="F31" s="3">
        <v>1</v>
      </c>
      <c r="G31" s="3">
        <v>0</v>
      </c>
      <c r="H31" s="3">
        <v>1</v>
      </c>
      <c r="I31" s="3">
        <v>1</v>
      </c>
      <c r="J31" s="3">
        <v>1</v>
      </c>
      <c r="K31" s="3">
        <v>0</v>
      </c>
      <c r="L31" s="3">
        <v>1</v>
      </c>
      <c r="M31" s="3">
        <v>1</v>
      </c>
      <c r="N31" s="39">
        <f t="shared" ref="N31:N32" si="53">SUM(D31:M31)</f>
        <v>7</v>
      </c>
      <c r="O31" s="3">
        <v>1</v>
      </c>
      <c r="P31" s="3">
        <v>0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9">
        <f t="shared" ref="V31:V32" si="54">SUM(O31:U31)</f>
        <v>6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9">
        <f t="shared" ref="AD31:AD32" si="55">SUM(W31:AC31)</f>
        <v>7</v>
      </c>
      <c r="AE31" s="3">
        <v>1</v>
      </c>
      <c r="AF31" s="3">
        <v>0</v>
      </c>
      <c r="AG31" s="3">
        <v>1</v>
      </c>
      <c r="AH31" s="3">
        <v>1</v>
      </c>
      <c r="AI31" s="3">
        <v>0</v>
      </c>
      <c r="AJ31" s="3">
        <v>1</v>
      </c>
      <c r="AK31" s="3">
        <v>1</v>
      </c>
      <c r="AL31" s="3">
        <v>1</v>
      </c>
      <c r="AM31" s="43">
        <f t="shared" ref="AM31:AM32" si="56">SUM(AE31:AL31)</f>
        <v>6</v>
      </c>
      <c r="AN31" s="3">
        <v>1</v>
      </c>
      <c r="AO31" s="3">
        <v>1</v>
      </c>
      <c r="AP31" s="3">
        <v>1</v>
      </c>
      <c r="AQ31" s="3">
        <v>1</v>
      </c>
      <c r="AR31" s="3">
        <v>1</v>
      </c>
      <c r="AS31" s="3">
        <v>1</v>
      </c>
      <c r="AT31" s="3">
        <v>1</v>
      </c>
      <c r="AU31" s="3">
        <v>1</v>
      </c>
      <c r="AV31" s="3">
        <v>1</v>
      </c>
      <c r="AW31" s="43">
        <f t="shared" si="4"/>
        <v>9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</v>
      </c>
      <c r="BE31" s="43">
        <f t="shared" si="5"/>
        <v>7</v>
      </c>
      <c r="BF31" s="3">
        <v>1</v>
      </c>
      <c r="BG31" s="3">
        <v>1</v>
      </c>
      <c r="BH31" s="3">
        <v>1</v>
      </c>
      <c r="BI31" s="3">
        <v>1</v>
      </c>
      <c r="BJ31" s="3">
        <v>1</v>
      </c>
      <c r="BK31" s="3">
        <v>1</v>
      </c>
      <c r="BL31" s="3">
        <v>1</v>
      </c>
      <c r="BM31" s="3">
        <v>1</v>
      </c>
      <c r="BN31" s="43">
        <f t="shared" si="6"/>
        <v>8</v>
      </c>
      <c r="BQ31" s="22">
        <f t="shared" si="7"/>
        <v>50</v>
      </c>
      <c r="BR31" s="22">
        <f t="shared" si="8"/>
        <v>89.285714285714292</v>
      </c>
    </row>
    <row r="32" spans="1:70" ht="18" x14ac:dyDescent="0.35">
      <c r="A32" s="2">
        <v>27</v>
      </c>
      <c r="B32" s="16" t="s">
        <v>88</v>
      </c>
      <c r="C32" s="20" t="s">
        <v>89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9">
        <f t="shared" si="53"/>
        <v>10</v>
      </c>
      <c r="O32" s="3">
        <v>1</v>
      </c>
      <c r="P32" s="3">
        <v>1</v>
      </c>
      <c r="Q32" s="3">
        <v>1</v>
      </c>
      <c r="R32" s="3">
        <v>1</v>
      </c>
      <c r="S32" s="3">
        <v>0</v>
      </c>
      <c r="T32" s="3">
        <v>0</v>
      </c>
      <c r="U32" s="3">
        <v>1</v>
      </c>
      <c r="V32" s="39">
        <f t="shared" si="54"/>
        <v>5</v>
      </c>
      <c r="W32" s="3">
        <v>1</v>
      </c>
      <c r="X32" s="3">
        <v>1</v>
      </c>
      <c r="Y32" s="3">
        <v>1</v>
      </c>
      <c r="Z32" s="3">
        <v>1</v>
      </c>
      <c r="AA32" s="3">
        <v>0</v>
      </c>
      <c r="AB32" s="3">
        <v>1</v>
      </c>
      <c r="AC32" s="3">
        <v>1</v>
      </c>
      <c r="AD32" s="39">
        <f t="shared" si="55"/>
        <v>6</v>
      </c>
      <c r="AE32" s="3">
        <v>1</v>
      </c>
      <c r="AF32" s="3">
        <v>0</v>
      </c>
      <c r="AG32" s="3">
        <v>1</v>
      </c>
      <c r="AH32" s="3">
        <v>1</v>
      </c>
      <c r="AI32" s="3">
        <v>1</v>
      </c>
      <c r="AJ32" s="3">
        <v>1</v>
      </c>
      <c r="AK32" s="3">
        <v>1</v>
      </c>
      <c r="AL32" s="3">
        <v>1</v>
      </c>
      <c r="AM32" s="43">
        <f t="shared" si="56"/>
        <v>7</v>
      </c>
      <c r="AN32" s="3">
        <v>0</v>
      </c>
      <c r="AO32" s="3">
        <v>1</v>
      </c>
      <c r="AP32" s="3">
        <v>0</v>
      </c>
      <c r="AQ32" s="3">
        <v>1</v>
      </c>
      <c r="AR32" s="3">
        <v>0</v>
      </c>
      <c r="AS32" s="3">
        <v>0</v>
      </c>
      <c r="AT32" s="3">
        <v>1</v>
      </c>
      <c r="AU32" s="3">
        <v>1</v>
      </c>
      <c r="AV32" s="3">
        <v>1</v>
      </c>
      <c r="AW32" s="43">
        <f t="shared" si="4"/>
        <v>5</v>
      </c>
      <c r="AX32" s="3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43">
        <f t="shared" si="5"/>
        <v>7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3">
        <v>1</v>
      </c>
      <c r="BM32" s="3">
        <v>1</v>
      </c>
      <c r="BN32" s="43">
        <f t="shared" si="6"/>
        <v>8</v>
      </c>
      <c r="BQ32" s="22">
        <f t="shared" si="7"/>
        <v>48</v>
      </c>
      <c r="BR32" s="22">
        <f t="shared" si="8"/>
        <v>85.714285714285708</v>
      </c>
    </row>
    <row r="33" spans="1:70" ht="18" x14ac:dyDescent="0.35">
      <c r="A33" s="2">
        <v>28</v>
      </c>
      <c r="B33" s="16" t="s">
        <v>90</v>
      </c>
      <c r="C33" s="20" t="s">
        <v>91</v>
      </c>
      <c r="D33" s="3">
        <v>0</v>
      </c>
      <c r="E33" s="3">
        <v>1</v>
      </c>
      <c r="F33" s="3">
        <v>1</v>
      </c>
      <c r="G33" s="3">
        <v>0</v>
      </c>
      <c r="H33" s="3">
        <v>1</v>
      </c>
      <c r="I33" s="3">
        <v>1</v>
      </c>
      <c r="J33" s="3">
        <v>1</v>
      </c>
      <c r="K33" s="3">
        <v>0</v>
      </c>
      <c r="L33" s="3">
        <v>1</v>
      </c>
      <c r="M33" s="3">
        <v>1</v>
      </c>
      <c r="N33" s="39">
        <f t="shared" ref="N33" si="57">SUM(D33:M33)</f>
        <v>7</v>
      </c>
      <c r="O33" s="3">
        <v>1</v>
      </c>
      <c r="P33" s="3">
        <v>0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9">
        <f t="shared" ref="V33:V34" si="58">SUM(O33:U33)</f>
        <v>6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9">
        <f t="shared" ref="AD33:AD34" si="59">SUM(W33:AC33)</f>
        <v>7</v>
      </c>
      <c r="AE33" s="3">
        <v>1</v>
      </c>
      <c r="AF33" s="3">
        <v>0</v>
      </c>
      <c r="AG33" s="3">
        <v>1</v>
      </c>
      <c r="AH33" s="3">
        <v>1</v>
      </c>
      <c r="AI33" s="3">
        <v>0</v>
      </c>
      <c r="AJ33" s="3">
        <v>1</v>
      </c>
      <c r="AK33" s="3">
        <v>1</v>
      </c>
      <c r="AL33" s="3">
        <v>1</v>
      </c>
      <c r="AM33" s="43">
        <f t="shared" ref="AM33" si="60">SUM(AE33:AL33)</f>
        <v>6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43">
        <f t="shared" si="4"/>
        <v>9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43">
        <f t="shared" si="5"/>
        <v>7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43">
        <f t="shared" si="6"/>
        <v>8</v>
      </c>
      <c r="BQ33" s="22">
        <f t="shared" si="7"/>
        <v>50</v>
      </c>
      <c r="BR33" s="22">
        <f t="shared" si="8"/>
        <v>89.285714285714292</v>
      </c>
    </row>
    <row r="34" spans="1:70" ht="18" x14ac:dyDescent="0.35">
      <c r="A34" s="2">
        <v>29</v>
      </c>
      <c r="B34" s="16" t="s">
        <v>92</v>
      </c>
      <c r="C34" s="20" t="s">
        <v>93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9">
        <f t="shared" si="0"/>
        <v>10</v>
      </c>
      <c r="O34" s="3">
        <v>1</v>
      </c>
      <c r="P34" s="3">
        <v>1</v>
      </c>
      <c r="Q34" s="3">
        <v>1</v>
      </c>
      <c r="R34" s="3">
        <v>1</v>
      </c>
      <c r="S34" s="3">
        <v>0</v>
      </c>
      <c r="T34" s="3">
        <v>1</v>
      </c>
      <c r="U34" s="3">
        <v>1</v>
      </c>
      <c r="V34" s="39">
        <f t="shared" si="58"/>
        <v>6</v>
      </c>
      <c r="W34" s="3">
        <v>1</v>
      </c>
      <c r="X34" s="3">
        <v>1</v>
      </c>
      <c r="Y34" s="3">
        <v>0</v>
      </c>
      <c r="Z34" s="3">
        <v>1</v>
      </c>
      <c r="AA34" s="3">
        <v>1</v>
      </c>
      <c r="AB34" s="3">
        <v>1</v>
      </c>
      <c r="AC34" s="3">
        <v>1</v>
      </c>
      <c r="AD34" s="39">
        <f t="shared" si="59"/>
        <v>6</v>
      </c>
      <c r="AE34" s="3">
        <v>1</v>
      </c>
      <c r="AF34" s="3">
        <v>1</v>
      </c>
      <c r="AG34" s="3">
        <v>1</v>
      </c>
      <c r="AH34" s="3">
        <v>0</v>
      </c>
      <c r="AI34" s="3">
        <v>1</v>
      </c>
      <c r="AJ34" s="3">
        <v>1</v>
      </c>
      <c r="AK34" s="3">
        <v>1</v>
      </c>
      <c r="AL34" s="3">
        <v>1</v>
      </c>
      <c r="AM34" s="43">
        <f t="shared" si="3"/>
        <v>7</v>
      </c>
      <c r="AN34" s="3">
        <v>1</v>
      </c>
      <c r="AO34" s="3">
        <v>0</v>
      </c>
      <c r="AP34" s="3">
        <v>1</v>
      </c>
      <c r="AQ34" s="3">
        <v>0</v>
      </c>
      <c r="AR34" s="3">
        <v>1</v>
      </c>
      <c r="AS34" s="3">
        <v>0</v>
      </c>
      <c r="AT34" s="3">
        <v>0</v>
      </c>
      <c r="AU34" s="3">
        <v>1</v>
      </c>
      <c r="AV34" s="3">
        <v>1</v>
      </c>
      <c r="AW34" s="43">
        <f t="shared" si="4"/>
        <v>5</v>
      </c>
      <c r="AX34" s="3">
        <v>1</v>
      </c>
      <c r="AY34" s="3">
        <v>1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43">
        <f t="shared" si="5"/>
        <v>7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3">
        <v>1</v>
      </c>
      <c r="BM34" s="3">
        <v>1</v>
      </c>
      <c r="BN34" s="43">
        <f t="shared" si="6"/>
        <v>8</v>
      </c>
      <c r="BQ34" s="22">
        <f t="shared" si="7"/>
        <v>49</v>
      </c>
      <c r="BR34" s="22">
        <f t="shared" si="8"/>
        <v>87.5</v>
      </c>
    </row>
    <row r="35" spans="1:70" ht="18" x14ac:dyDescent="0.35">
      <c r="A35" s="2">
        <v>30</v>
      </c>
      <c r="B35" s="16" t="s">
        <v>94</v>
      </c>
      <c r="C35" s="20" t="s">
        <v>95</v>
      </c>
      <c r="D35" s="3">
        <v>0</v>
      </c>
      <c r="E35" s="3">
        <v>1</v>
      </c>
      <c r="F35" s="3">
        <v>1</v>
      </c>
      <c r="G35" s="3">
        <v>0</v>
      </c>
      <c r="H35" s="3">
        <v>1</v>
      </c>
      <c r="I35" s="3">
        <v>1</v>
      </c>
      <c r="J35" s="3">
        <v>1</v>
      </c>
      <c r="K35" s="3">
        <v>0</v>
      </c>
      <c r="L35" s="3">
        <v>1</v>
      </c>
      <c r="M35" s="3">
        <v>1</v>
      </c>
      <c r="N35" s="39">
        <f t="shared" ref="N35" si="61">SUM(D35:M35)</f>
        <v>7</v>
      </c>
      <c r="O35" s="3">
        <v>1</v>
      </c>
      <c r="P35" s="3">
        <v>1</v>
      </c>
      <c r="Q35" s="3">
        <v>0</v>
      </c>
      <c r="R35" s="3">
        <v>1</v>
      </c>
      <c r="S35" s="3">
        <v>1</v>
      </c>
      <c r="T35" s="3">
        <v>1</v>
      </c>
      <c r="U35" s="3">
        <v>1</v>
      </c>
      <c r="V35" s="39">
        <f t="shared" ref="V35" si="62">SUM(O35:U35)</f>
        <v>6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9">
        <f t="shared" ref="AD35" si="63">SUM(W35:AC35)</f>
        <v>7</v>
      </c>
      <c r="AE35" s="3">
        <v>1</v>
      </c>
      <c r="AF35" s="3">
        <v>1</v>
      </c>
      <c r="AG35" s="3">
        <v>1</v>
      </c>
      <c r="AH35" s="3">
        <v>1</v>
      </c>
      <c r="AI35" s="3">
        <v>0</v>
      </c>
      <c r="AJ35" s="3">
        <v>1</v>
      </c>
      <c r="AK35" s="3">
        <v>1</v>
      </c>
      <c r="AL35" s="3">
        <v>1</v>
      </c>
      <c r="AM35" s="43">
        <f t="shared" ref="AM35" si="64">SUM(AE35:AL35)</f>
        <v>7</v>
      </c>
      <c r="AN35" s="3">
        <v>1</v>
      </c>
      <c r="AO35" s="3">
        <v>1</v>
      </c>
      <c r="AP35" s="3">
        <v>0</v>
      </c>
      <c r="AQ35" s="3">
        <v>1</v>
      </c>
      <c r="AR35" s="3">
        <v>0</v>
      </c>
      <c r="AS35" s="3">
        <v>1</v>
      </c>
      <c r="AT35" s="3">
        <v>0</v>
      </c>
      <c r="AU35" s="3">
        <v>0</v>
      </c>
      <c r="AV35" s="3">
        <v>1</v>
      </c>
      <c r="AW35" s="43">
        <f t="shared" si="4"/>
        <v>5</v>
      </c>
      <c r="AX35" s="3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43">
        <f t="shared" si="5"/>
        <v>7</v>
      </c>
      <c r="BF35" s="3">
        <v>0</v>
      </c>
      <c r="BG35" s="3">
        <v>1</v>
      </c>
      <c r="BH35" s="3">
        <v>0</v>
      </c>
      <c r="BI35" s="3">
        <v>1</v>
      </c>
      <c r="BJ35" s="3">
        <v>0</v>
      </c>
      <c r="BK35" s="3">
        <v>1</v>
      </c>
      <c r="BL35" s="3">
        <v>1</v>
      </c>
      <c r="BM35" s="3">
        <v>1</v>
      </c>
      <c r="BN35" s="43">
        <f t="shared" si="6"/>
        <v>5</v>
      </c>
      <c r="BQ35" s="22">
        <f t="shared" si="7"/>
        <v>44</v>
      </c>
      <c r="BR35" s="22">
        <f t="shared" si="8"/>
        <v>78.571428571428569</v>
      </c>
    </row>
    <row r="36" spans="1:70" ht="18" x14ac:dyDescent="0.35">
      <c r="A36" s="2">
        <v>31</v>
      </c>
      <c r="B36" s="16" t="s">
        <v>96</v>
      </c>
      <c r="C36" s="20" t="s">
        <v>97</v>
      </c>
      <c r="D36" s="3">
        <v>0</v>
      </c>
      <c r="E36" s="3">
        <v>1</v>
      </c>
      <c r="F36" s="3">
        <v>1</v>
      </c>
      <c r="G36" s="3">
        <v>0</v>
      </c>
      <c r="H36" s="3">
        <v>1</v>
      </c>
      <c r="I36" s="3">
        <v>1</v>
      </c>
      <c r="J36" s="3">
        <v>1</v>
      </c>
      <c r="K36" s="3">
        <v>0</v>
      </c>
      <c r="L36" s="3">
        <v>1</v>
      </c>
      <c r="M36" s="3">
        <v>1</v>
      </c>
      <c r="N36" s="39">
        <f t="shared" ref="N36:N37" si="65">SUM(D36:M36)</f>
        <v>7</v>
      </c>
      <c r="O36" s="3">
        <v>1</v>
      </c>
      <c r="P36" s="3">
        <v>0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9">
        <f t="shared" ref="V36:V38" si="66">SUM(O36:U36)</f>
        <v>6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9">
        <f t="shared" ref="AD36:AD38" si="67">SUM(W36:AC36)</f>
        <v>7</v>
      </c>
      <c r="AE36" s="3">
        <v>1</v>
      </c>
      <c r="AF36" s="3">
        <v>0</v>
      </c>
      <c r="AG36" s="3">
        <v>1</v>
      </c>
      <c r="AH36" s="3">
        <v>1</v>
      </c>
      <c r="AI36" s="3">
        <v>0</v>
      </c>
      <c r="AJ36" s="3">
        <v>1</v>
      </c>
      <c r="AK36" s="3">
        <v>1</v>
      </c>
      <c r="AL36" s="3">
        <v>1</v>
      </c>
      <c r="AM36" s="43">
        <f t="shared" ref="AM36:AM37" si="68">SUM(AE36:AL36)</f>
        <v>6</v>
      </c>
      <c r="AN36" s="3">
        <v>1</v>
      </c>
      <c r="AO36" s="3">
        <v>1</v>
      </c>
      <c r="AP36" s="3">
        <v>1</v>
      </c>
      <c r="AQ36" s="3">
        <v>1</v>
      </c>
      <c r="AR36" s="3">
        <v>1</v>
      </c>
      <c r="AS36" s="3">
        <v>1</v>
      </c>
      <c r="AT36" s="3">
        <v>1</v>
      </c>
      <c r="AU36" s="3">
        <v>1</v>
      </c>
      <c r="AV36" s="3">
        <v>1</v>
      </c>
      <c r="AW36" s="43">
        <f t="shared" si="4"/>
        <v>9</v>
      </c>
      <c r="AX36" s="3">
        <v>1</v>
      </c>
      <c r="AY36" s="3">
        <v>1</v>
      </c>
      <c r="AZ36" s="3">
        <v>1</v>
      </c>
      <c r="BA36" s="3">
        <v>1</v>
      </c>
      <c r="BB36" s="3">
        <v>1</v>
      </c>
      <c r="BC36" s="3">
        <v>1</v>
      </c>
      <c r="BD36" s="3">
        <v>1</v>
      </c>
      <c r="BE36" s="43">
        <f t="shared" si="5"/>
        <v>7</v>
      </c>
      <c r="BF36" s="3">
        <v>1</v>
      </c>
      <c r="BG36" s="3">
        <v>1</v>
      </c>
      <c r="BH36" s="3">
        <v>1</v>
      </c>
      <c r="BI36" s="3">
        <v>1</v>
      </c>
      <c r="BJ36" s="3">
        <v>1</v>
      </c>
      <c r="BK36" s="3">
        <v>1</v>
      </c>
      <c r="BL36" s="3">
        <v>1</v>
      </c>
      <c r="BM36" s="3">
        <v>1</v>
      </c>
      <c r="BN36" s="43">
        <f t="shared" si="6"/>
        <v>8</v>
      </c>
      <c r="BQ36" s="22">
        <f t="shared" si="7"/>
        <v>50</v>
      </c>
      <c r="BR36" s="22">
        <f t="shared" si="8"/>
        <v>89.285714285714292</v>
      </c>
    </row>
    <row r="37" spans="1:70" ht="18" x14ac:dyDescent="0.35">
      <c r="A37" s="2">
        <v>32</v>
      </c>
      <c r="B37" s="16" t="s">
        <v>98</v>
      </c>
      <c r="C37" s="20" t="s">
        <v>99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9">
        <f t="shared" si="65"/>
        <v>10</v>
      </c>
      <c r="O37" s="3">
        <v>1</v>
      </c>
      <c r="P37" s="3">
        <v>1</v>
      </c>
      <c r="Q37" s="3">
        <v>1</v>
      </c>
      <c r="R37" s="3">
        <v>1</v>
      </c>
      <c r="S37" s="3">
        <v>0</v>
      </c>
      <c r="T37" s="3">
        <v>0</v>
      </c>
      <c r="U37" s="3">
        <v>1</v>
      </c>
      <c r="V37" s="39">
        <f t="shared" si="66"/>
        <v>5</v>
      </c>
      <c r="W37" s="3">
        <v>1</v>
      </c>
      <c r="X37" s="3">
        <v>1</v>
      </c>
      <c r="Y37" s="3">
        <v>1</v>
      </c>
      <c r="Z37" s="3">
        <v>1</v>
      </c>
      <c r="AA37" s="3">
        <v>0</v>
      </c>
      <c r="AB37" s="3">
        <v>1</v>
      </c>
      <c r="AC37" s="3">
        <v>1</v>
      </c>
      <c r="AD37" s="39">
        <f t="shared" si="67"/>
        <v>6</v>
      </c>
      <c r="AE37" s="3">
        <v>1</v>
      </c>
      <c r="AF37" s="3">
        <v>0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43">
        <f t="shared" si="68"/>
        <v>7</v>
      </c>
      <c r="AN37" s="3">
        <v>1</v>
      </c>
      <c r="AO37" s="3">
        <v>0</v>
      </c>
      <c r="AP37" s="3">
        <v>1</v>
      </c>
      <c r="AQ37" s="3">
        <v>0</v>
      </c>
      <c r="AR37" s="3">
        <v>1</v>
      </c>
      <c r="AS37" s="3">
        <v>0</v>
      </c>
      <c r="AT37" s="3">
        <v>0</v>
      </c>
      <c r="AU37" s="3">
        <v>1</v>
      </c>
      <c r="AV37" s="3">
        <v>1</v>
      </c>
      <c r="AW37" s="43">
        <f t="shared" ref="AW37:AW68" si="69">SUM(AN37:AV37)</f>
        <v>5</v>
      </c>
      <c r="AX37" s="3">
        <v>1</v>
      </c>
      <c r="AY37" s="3">
        <v>1</v>
      </c>
      <c r="AZ37" s="3">
        <v>1</v>
      </c>
      <c r="BA37" s="3">
        <v>1</v>
      </c>
      <c r="BB37" s="3">
        <v>1</v>
      </c>
      <c r="BC37" s="3">
        <v>1</v>
      </c>
      <c r="BD37" s="3">
        <v>1</v>
      </c>
      <c r="BE37" s="43">
        <f t="shared" ref="BE37:BE68" si="70">SUM(AX37:BD37)</f>
        <v>7</v>
      </c>
      <c r="BF37" s="3">
        <v>1</v>
      </c>
      <c r="BG37" s="3">
        <v>1</v>
      </c>
      <c r="BH37" s="3">
        <v>1</v>
      </c>
      <c r="BI37" s="3">
        <v>1</v>
      </c>
      <c r="BJ37" s="3">
        <v>1</v>
      </c>
      <c r="BK37" s="3">
        <v>1</v>
      </c>
      <c r="BL37" s="3">
        <v>1</v>
      </c>
      <c r="BM37" s="3">
        <v>1</v>
      </c>
      <c r="BN37" s="43">
        <f t="shared" ref="BN37:BN68" si="71">SUM(BF37:BM37)</f>
        <v>8</v>
      </c>
      <c r="BQ37" s="22">
        <f t="shared" si="7"/>
        <v>48</v>
      </c>
      <c r="BR37" s="22">
        <f t="shared" si="8"/>
        <v>85.714285714285708</v>
      </c>
    </row>
    <row r="38" spans="1:70" ht="18" x14ac:dyDescent="0.35">
      <c r="A38" s="2">
        <v>33</v>
      </c>
      <c r="B38" s="16" t="s">
        <v>100</v>
      </c>
      <c r="C38" s="20" t="s">
        <v>101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9">
        <f t="shared" ref="N38:N70" si="72">SUM(D38:M38)</f>
        <v>10</v>
      </c>
      <c r="O38" s="3">
        <v>1</v>
      </c>
      <c r="P38" s="3">
        <v>1</v>
      </c>
      <c r="Q38" s="3">
        <v>1</v>
      </c>
      <c r="R38" s="3">
        <v>1</v>
      </c>
      <c r="S38" s="3">
        <v>0</v>
      </c>
      <c r="T38" s="3">
        <v>1</v>
      </c>
      <c r="U38" s="3">
        <v>1</v>
      </c>
      <c r="V38" s="39">
        <f t="shared" si="66"/>
        <v>6</v>
      </c>
      <c r="W38" s="3">
        <v>1</v>
      </c>
      <c r="X38" s="3">
        <v>1</v>
      </c>
      <c r="Y38" s="3">
        <v>0</v>
      </c>
      <c r="Z38" s="3">
        <v>1</v>
      </c>
      <c r="AA38" s="3">
        <v>1</v>
      </c>
      <c r="AB38" s="3">
        <v>1</v>
      </c>
      <c r="AC38" s="3">
        <v>1</v>
      </c>
      <c r="AD38" s="39">
        <f t="shared" si="67"/>
        <v>6</v>
      </c>
      <c r="AE38" s="3">
        <v>1</v>
      </c>
      <c r="AF38" s="3">
        <v>1</v>
      </c>
      <c r="AG38" s="3">
        <v>1</v>
      </c>
      <c r="AH38" s="3">
        <v>0</v>
      </c>
      <c r="AI38" s="3">
        <v>1</v>
      </c>
      <c r="AJ38" s="3">
        <v>1</v>
      </c>
      <c r="AK38" s="3">
        <v>1</v>
      </c>
      <c r="AL38" s="3">
        <v>1</v>
      </c>
      <c r="AM38" s="43">
        <f t="shared" ref="AM38:AM70" si="73">SUM(AE38:AL38)</f>
        <v>7</v>
      </c>
      <c r="AN38" s="3">
        <v>1</v>
      </c>
      <c r="AO38" s="3">
        <v>1</v>
      </c>
      <c r="AP38" s="3">
        <v>0</v>
      </c>
      <c r="AQ38" s="3">
        <v>1</v>
      </c>
      <c r="AR38" s="3">
        <v>0</v>
      </c>
      <c r="AS38" s="3">
        <v>1</v>
      </c>
      <c r="AT38" s="3">
        <v>0</v>
      </c>
      <c r="AU38" s="3">
        <v>0</v>
      </c>
      <c r="AV38" s="3">
        <v>1</v>
      </c>
      <c r="AW38" s="43">
        <f t="shared" si="69"/>
        <v>5</v>
      </c>
      <c r="AX38" s="3">
        <v>1</v>
      </c>
      <c r="AY38" s="3">
        <v>1</v>
      </c>
      <c r="AZ38" s="3">
        <v>1</v>
      </c>
      <c r="BA38" s="3">
        <v>1</v>
      </c>
      <c r="BB38" s="3">
        <v>1</v>
      </c>
      <c r="BC38" s="3">
        <v>1</v>
      </c>
      <c r="BD38" s="3">
        <v>1</v>
      </c>
      <c r="BE38" s="43">
        <f t="shared" si="70"/>
        <v>7</v>
      </c>
      <c r="BF38" s="3">
        <v>1</v>
      </c>
      <c r="BG38" s="3">
        <v>1</v>
      </c>
      <c r="BH38" s="3">
        <v>1</v>
      </c>
      <c r="BI38" s="3">
        <v>1</v>
      </c>
      <c r="BJ38" s="3">
        <v>1</v>
      </c>
      <c r="BK38" s="3">
        <v>1</v>
      </c>
      <c r="BL38" s="3">
        <v>1</v>
      </c>
      <c r="BM38" s="3">
        <v>1</v>
      </c>
      <c r="BN38" s="43">
        <f t="shared" si="71"/>
        <v>8</v>
      </c>
      <c r="BQ38" s="22">
        <f t="shared" si="7"/>
        <v>49</v>
      </c>
      <c r="BR38" s="22">
        <f t="shared" si="8"/>
        <v>87.5</v>
      </c>
    </row>
    <row r="39" spans="1:70" ht="18" x14ac:dyDescent="0.35">
      <c r="A39" s="2">
        <v>34</v>
      </c>
      <c r="B39" s="16" t="s">
        <v>102</v>
      </c>
      <c r="C39" s="20" t="s">
        <v>103</v>
      </c>
      <c r="D39" s="3">
        <v>0</v>
      </c>
      <c r="E39" s="3">
        <v>1</v>
      </c>
      <c r="F39" s="3">
        <v>1</v>
      </c>
      <c r="G39" s="3">
        <v>0</v>
      </c>
      <c r="H39" s="3">
        <v>1</v>
      </c>
      <c r="I39" s="3">
        <v>1</v>
      </c>
      <c r="J39" s="3">
        <v>1</v>
      </c>
      <c r="K39" s="3">
        <v>0</v>
      </c>
      <c r="L39" s="3">
        <v>1</v>
      </c>
      <c r="M39" s="3">
        <v>1</v>
      </c>
      <c r="N39" s="39">
        <f t="shared" si="72"/>
        <v>7</v>
      </c>
      <c r="O39" s="3">
        <v>1</v>
      </c>
      <c r="P39" s="3">
        <v>0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9">
        <f t="shared" ref="V39:V70" si="74">SUM(O39:U39)</f>
        <v>6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9">
        <f t="shared" ref="AD39:AD70" si="75">SUM(W39:AC39)</f>
        <v>7</v>
      </c>
      <c r="AE39" s="3">
        <v>1</v>
      </c>
      <c r="AF39" s="3">
        <v>0</v>
      </c>
      <c r="AG39" s="3">
        <v>1</v>
      </c>
      <c r="AH39" s="3">
        <v>1</v>
      </c>
      <c r="AI39" s="3">
        <v>0</v>
      </c>
      <c r="AJ39" s="3">
        <v>1</v>
      </c>
      <c r="AK39" s="3">
        <v>1</v>
      </c>
      <c r="AL39" s="3">
        <v>1</v>
      </c>
      <c r="AM39" s="43">
        <f t="shared" si="73"/>
        <v>6</v>
      </c>
      <c r="AN39" s="3">
        <v>1</v>
      </c>
      <c r="AO39" s="3">
        <v>1</v>
      </c>
      <c r="AP39" s="3">
        <v>1</v>
      </c>
      <c r="AQ39" s="3">
        <v>1</v>
      </c>
      <c r="AR39" s="3">
        <v>1</v>
      </c>
      <c r="AS39" s="3">
        <v>1</v>
      </c>
      <c r="AT39" s="3">
        <v>1</v>
      </c>
      <c r="AU39" s="3">
        <v>1</v>
      </c>
      <c r="AV39" s="3">
        <v>1</v>
      </c>
      <c r="AW39" s="43">
        <f t="shared" si="69"/>
        <v>9</v>
      </c>
      <c r="AX39" s="3">
        <v>1</v>
      </c>
      <c r="AY39" s="3">
        <v>1</v>
      </c>
      <c r="AZ39" s="3">
        <v>1</v>
      </c>
      <c r="BA39" s="3">
        <v>1</v>
      </c>
      <c r="BB39" s="3">
        <v>1</v>
      </c>
      <c r="BC39" s="3">
        <v>1</v>
      </c>
      <c r="BD39" s="3">
        <v>1</v>
      </c>
      <c r="BE39" s="43">
        <f t="shared" si="70"/>
        <v>7</v>
      </c>
      <c r="BF39" s="3">
        <v>1</v>
      </c>
      <c r="BG39" s="3">
        <v>1</v>
      </c>
      <c r="BH39" s="3">
        <v>1</v>
      </c>
      <c r="BI39" s="3">
        <v>1</v>
      </c>
      <c r="BJ39" s="3">
        <v>1</v>
      </c>
      <c r="BK39" s="3">
        <v>1</v>
      </c>
      <c r="BL39" s="3">
        <v>1</v>
      </c>
      <c r="BM39" s="3">
        <v>1</v>
      </c>
      <c r="BN39" s="43">
        <f t="shared" si="71"/>
        <v>8</v>
      </c>
      <c r="BQ39" s="22">
        <f t="shared" si="7"/>
        <v>50</v>
      </c>
      <c r="BR39" s="22">
        <f t="shared" si="8"/>
        <v>89.285714285714292</v>
      </c>
    </row>
    <row r="40" spans="1:70" ht="18" x14ac:dyDescent="0.35">
      <c r="A40" s="2">
        <v>35</v>
      </c>
      <c r="B40" s="16" t="s">
        <v>104</v>
      </c>
      <c r="C40" s="20" t="s">
        <v>105</v>
      </c>
      <c r="D40" s="3">
        <v>0</v>
      </c>
      <c r="E40" s="3">
        <v>1</v>
      </c>
      <c r="F40" s="3">
        <v>1</v>
      </c>
      <c r="G40" s="3">
        <v>0</v>
      </c>
      <c r="H40" s="3">
        <v>1</v>
      </c>
      <c r="I40" s="3">
        <v>1</v>
      </c>
      <c r="J40" s="3">
        <v>1</v>
      </c>
      <c r="K40" s="3">
        <v>0</v>
      </c>
      <c r="L40" s="3">
        <v>1</v>
      </c>
      <c r="M40" s="3">
        <v>1</v>
      </c>
      <c r="N40" s="39">
        <f t="shared" si="72"/>
        <v>7</v>
      </c>
      <c r="O40" s="3">
        <v>1</v>
      </c>
      <c r="P40" s="3">
        <v>1</v>
      </c>
      <c r="Q40" s="3">
        <v>0</v>
      </c>
      <c r="R40" s="3">
        <v>1</v>
      </c>
      <c r="S40" s="3">
        <v>1</v>
      </c>
      <c r="T40" s="3">
        <v>1</v>
      </c>
      <c r="U40" s="3">
        <v>1</v>
      </c>
      <c r="V40" s="39">
        <f t="shared" si="74"/>
        <v>6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9">
        <f t="shared" si="75"/>
        <v>7</v>
      </c>
      <c r="AE40" s="3">
        <v>1</v>
      </c>
      <c r="AF40" s="3">
        <v>1</v>
      </c>
      <c r="AG40" s="3">
        <v>1</v>
      </c>
      <c r="AH40" s="3">
        <v>1</v>
      </c>
      <c r="AI40" s="3">
        <v>0</v>
      </c>
      <c r="AJ40" s="3">
        <v>1</v>
      </c>
      <c r="AK40" s="3">
        <v>1</v>
      </c>
      <c r="AL40" s="3">
        <v>1</v>
      </c>
      <c r="AM40" s="43">
        <f t="shared" si="73"/>
        <v>7</v>
      </c>
      <c r="AN40" s="3">
        <v>1</v>
      </c>
      <c r="AO40" s="3">
        <v>1</v>
      </c>
      <c r="AP40" s="3">
        <v>0</v>
      </c>
      <c r="AQ40" s="3">
        <v>1</v>
      </c>
      <c r="AR40" s="3">
        <v>0</v>
      </c>
      <c r="AS40" s="3">
        <v>1</v>
      </c>
      <c r="AT40" s="3">
        <v>0</v>
      </c>
      <c r="AU40" s="3">
        <v>0</v>
      </c>
      <c r="AV40" s="3">
        <v>1</v>
      </c>
      <c r="AW40" s="43">
        <f t="shared" si="69"/>
        <v>5</v>
      </c>
      <c r="AX40" s="3">
        <v>0</v>
      </c>
      <c r="AY40" s="3">
        <v>1</v>
      </c>
      <c r="AZ40" s="3">
        <v>0</v>
      </c>
      <c r="BA40" s="3">
        <v>1</v>
      </c>
      <c r="BB40" s="3">
        <v>0</v>
      </c>
      <c r="BC40" s="3">
        <v>1</v>
      </c>
      <c r="BD40" s="3">
        <v>1</v>
      </c>
      <c r="BE40" s="43">
        <f t="shared" si="70"/>
        <v>4</v>
      </c>
      <c r="BF40" s="3">
        <v>1</v>
      </c>
      <c r="BG40" s="3">
        <v>1</v>
      </c>
      <c r="BH40" s="3">
        <v>1</v>
      </c>
      <c r="BI40" s="3">
        <v>1</v>
      </c>
      <c r="BJ40" s="3">
        <v>1</v>
      </c>
      <c r="BK40" s="3">
        <v>1</v>
      </c>
      <c r="BL40" s="3">
        <v>1</v>
      </c>
      <c r="BM40" s="3">
        <v>1</v>
      </c>
      <c r="BN40" s="43">
        <f t="shared" si="71"/>
        <v>8</v>
      </c>
      <c r="BQ40" s="22">
        <f t="shared" si="7"/>
        <v>44</v>
      </c>
      <c r="BR40" s="22">
        <f t="shared" si="8"/>
        <v>78.571428571428569</v>
      </c>
    </row>
    <row r="41" spans="1:70" ht="18" x14ac:dyDescent="0.35">
      <c r="A41" s="2">
        <v>36</v>
      </c>
      <c r="B41" s="16" t="s">
        <v>106</v>
      </c>
      <c r="C41" s="20" t="s">
        <v>107</v>
      </c>
      <c r="D41" s="3">
        <v>0</v>
      </c>
      <c r="E41" s="3">
        <v>1</v>
      </c>
      <c r="F41" s="3">
        <v>1</v>
      </c>
      <c r="G41" s="3">
        <v>0</v>
      </c>
      <c r="H41" s="3">
        <v>1</v>
      </c>
      <c r="I41" s="3">
        <v>1</v>
      </c>
      <c r="J41" s="3">
        <v>1</v>
      </c>
      <c r="K41" s="3">
        <v>0</v>
      </c>
      <c r="L41" s="3">
        <v>1</v>
      </c>
      <c r="M41" s="3">
        <v>1</v>
      </c>
      <c r="N41" s="39">
        <f t="shared" si="72"/>
        <v>7</v>
      </c>
      <c r="O41" s="3">
        <v>1</v>
      </c>
      <c r="P41" s="3">
        <v>0</v>
      </c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9">
        <f t="shared" si="74"/>
        <v>6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9">
        <f t="shared" si="75"/>
        <v>7</v>
      </c>
      <c r="AE41" s="3">
        <v>1</v>
      </c>
      <c r="AF41" s="3">
        <v>0</v>
      </c>
      <c r="AG41" s="3">
        <v>1</v>
      </c>
      <c r="AH41" s="3">
        <v>1</v>
      </c>
      <c r="AI41" s="3">
        <v>0</v>
      </c>
      <c r="AJ41" s="3">
        <v>1</v>
      </c>
      <c r="AK41" s="3">
        <v>1</v>
      </c>
      <c r="AL41" s="3">
        <v>1</v>
      </c>
      <c r="AM41" s="43">
        <f t="shared" si="73"/>
        <v>6</v>
      </c>
      <c r="AN41" s="3">
        <v>1</v>
      </c>
      <c r="AO41" s="3">
        <v>1</v>
      </c>
      <c r="AP41" s="3">
        <v>1</v>
      </c>
      <c r="AQ41" s="3">
        <v>1</v>
      </c>
      <c r="AR41" s="3">
        <v>1</v>
      </c>
      <c r="AS41" s="3">
        <v>1</v>
      </c>
      <c r="AT41" s="3">
        <v>1</v>
      </c>
      <c r="AU41" s="3">
        <v>1</v>
      </c>
      <c r="AV41" s="3">
        <v>1</v>
      </c>
      <c r="AW41" s="43">
        <f t="shared" si="69"/>
        <v>9</v>
      </c>
      <c r="AX41" s="3">
        <v>1</v>
      </c>
      <c r="AY41" s="3">
        <v>1</v>
      </c>
      <c r="AZ41" s="3">
        <v>1</v>
      </c>
      <c r="BA41" s="3">
        <v>1</v>
      </c>
      <c r="BB41" s="3">
        <v>1</v>
      </c>
      <c r="BC41" s="3">
        <v>1</v>
      </c>
      <c r="BD41" s="3">
        <v>1</v>
      </c>
      <c r="BE41" s="43">
        <f t="shared" si="70"/>
        <v>7</v>
      </c>
      <c r="BF41" s="3">
        <v>1</v>
      </c>
      <c r="BG41" s="3">
        <v>1</v>
      </c>
      <c r="BH41" s="3">
        <v>1</v>
      </c>
      <c r="BI41" s="3">
        <v>1</v>
      </c>
      <c r="BJ41" s="3">
        <v>1</v>
      </c>
      <c r="BK41" s="3">
        <v>1</v>
      </c>
      <c r="BL41" s="3">
        <v>1</v>
      </c>
      <c r="BM41" s="3">
        <v>1</v>
      </c>
      <c r="BN41" s="43">
        <f t="shared" si="71"/>
        <v>8</v>
      </c>
      <c r="BQ41" s="22">
        <f t="shared" si="7"/>
        <v>50</v>
      </c>
      <c r="BR41" s="22">
        <f t="shared" si="8"/>
        <v>89.285714285714292</v>
      </c>
    </row>
    <row r="42" spans="1:70" ht="18" x14ac:dyDescent="0.35">
      <c r="A42" s="2">
        <v>37</v>
      </c>
      <c r="B42" s="16" t="s">
        <v>108</v>
      </c>
      <c r="C42" s="20" t="s">
        <v>109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9">
        <f t="shared" si="72"/>
        <v>10</v>
      </c>
      <c r="O42" s="3">
        <v>1</v>
      </c>
      <c r="P42" s="3">
        <v>1</v>
      </c>
      <c r="Q42" s="3">
        <v>1</v>
      </c>
      <c r="R42" s="3">
        <v>1</v>
      </c>
      <c r="S42" s="3">
        <v>0</v>
      </c>
      <c r="T42" s="3">
        <v>0</v>
      </c>
      <c r="U42" s="3">
        <v>1</v>
      </c>
      <c r="V42" s="39">
        <f t="shared" si="74"/>
        <v>5</v>
      </c>
      <c r="W42" s="3">
        <v>1</v>
      </c>
      <c r="X42" s="3">
        <v>1</v>
      </c>
      <c r="Y42" s="3">
        <v>1</v>
      </c>
      <c r="Z42" s="3">
        <v>1</v>
      </c>
      <c r="AA42" s="3">
        <v>0</v>
      </c>
      <c r="AB42" s="3">
        <v>1</v>
      </c>
      <c r="AC42" s="3">
        <v>1</v>
      </c>
      <c r="AD42" s="39">
        <f t="shared" si="75"/>
        <v>6</v>
      </c>
      <c r="AE42" s="3">
        <v>1</v>
      </c>
      <c r="AF42" s="3">
        <v>0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43">
        <f t="shared" si="73"/>
        <v>7</v>
      </c>
      <c r="AN42" s="3">
        <v>1</v>
      </c>
      <c r="AO42" s="3">
        <v>1</v>
      </c>
      <c r="AP42" s="3">
        <v>1</v>
      </c>
      <c r="AQ42" s="3">
        <v>0</v>
      </c>
      <c r="AR42" s="3">
        <v>1</v>
      </c>
      <c r="AS42" s="3">
        <v>0</v>
      </c>
      <c r="AT42" s="3">
        <v>1</v>
      </c>
      <c r="AU42" s="3">
        <v>0</v>
      </c>
      <c r="AV42" s="3">
        <v>0</v>
      </c>
      <c r="AW42" s="43">
        <f t="shared" si="69"/>
        <v>5</v>
      </c>
      <c r="AX42" s="3">
        <v>1</v>
      </c>
      <c r="AY42" s="3">
        <v>1</v>
      </c>
      <c r="AZ42" s="3">
        <v>1</v>
      </c>
      <c r="BA42" s="3">
        <v>1</v>
      </c>
      <c r="BB42" s="3">
        <v>1</v>
      </c>
      <c r="BC42" s="3">
        <v>1</v>
      </c>
      <c r="BD42" s="3">
        <v>1</v>
      </c>
      <c r="BE42" s="43">
        <f t="shared" si="70"/>
        <v>7</v>
      </c>
      <c r="BF42" s="3">
        <v>1</v>
      </c>
      <c r="BG42" s="3">
        <v>1</v>
      </c>
      <c r="BH42" s="3">
        <v>1</v>
      </c>
      <c r="BI42" s="3">
        <v>1</v>
      </c>
      <c r="BJ42" s="3">
        <v>1</v>
      </c>
      <c r="BK42" s="3">
        <v>1</v>
      </c>
      <c r="BL42" s="3">
        <v>1</v>
      </c>
      <c r="BM42" s="3">
        <v>1</v>
      </c>
      <c r="BN42" s="43">
        <f t="shared" si="71"/>
        <v>8</v>
      </c>
      <c r="BQ42" s="22">
        <f t="shared" si="7"/>
        <v>48</v>
      </c>
      <c r="BR42" s="22">
        <f t="shared" si="8"/>
        <v>85.714285714285708</v>
      </c>
    </row>
    <row r="43" spans="1:70" ht="18" x14ac:dyDescent="0.35">
      <c r="A43" s="2">
        <v>38</v>
      </c>
      <c r="B43" s="16" t="s">
        <v>110</v>
      </c>
      <c r="C43" s="20" t="s">
        <v>111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9">
        <f t="shared" si="72"/>
        <v>10</v>
      </c>
      <c r="O43" s="3">
        <v>1</v>
      </c>
      <c r="P43" s="3">
        <v>1</v>
      </c>
      <c r="Q43" s="3">
        <v>1</v>
      </c>
      <c r="R43" s="3">
        <v>1</v>
      </c>
      <c r="S43" s="3">
        <v>0</v>
      </c>
      <c r="T43" s="3">
        <v>1</v>
      </c>
      <c r="U43" s="3">
        <v>1</v>
      </c>
      <c r="V43" s="39">
        <f t="shared" si="74"/>
        <v>6</v>
      </c>
      <c r="W43" s="3">
        <v>1</v>
      </c>
      <c r="X43" s="3">
        <v>1</v>
      </c>
      <c r="Y43" s="3">
        <v>0</v>
      </c>
      <c r="Z43" s="3">
        <v>1</v>
      </c>
      <c r="AA43" s="3">
        <v>1</v>
      </c>
      <c r="AB43" s="3">
        <v>1</v>
      </c>
      <c r="AC43" s="3">
        <v>1</v>
      </c>
      <c r="AD43" s="39">
        <f t="shared" si="75"/>
        <v>6</v>
      </c>
      <c r="AE43" s="3">
        <v>1</v>
      </c>
      <c r="AF43" s="3">
        <v>1</v>
      </c>
      <c r="AG43" s="3">
        <v>1</v>
      </c>
      <c r="AH43" s="3">
        <v>0</v>
      </c>
      <c r="AI43" s="3">
        <v>1</v>
      </c>
      <c r="AJ43" s="3">
        <v>1</v>
      </c>
      <c r="AK43" s="3">
        <v>1</v>
      </c>
      <c r="AL43" s="3">
        <v>1</v>
      </c>
      <c r="AM43" s="43">
        <f t="shared" si="73"/>
        <v>7</v>
      </c>
      <c r="AN43" s="3">
        <v>0</v>
      </c>
      <c r="AO43" s="3">
        <v>1</v>
      </c>
      <c r="AP43" s="3">
        <v>0</v>
      </c>
      <c r="AQ43" s="3">
        <v>1</v>
      </c>
      <c r="AR43" s="3">
        <v>0</v>
      </c>
      <c r="AS43" s="3">
        <v>0</v>
      </c>
      <c r="AT43" s="3">
        <v>1</v>
      </c>
      <c r="AU43" s="3">
        <v>1</v>
      </c>
      <c r="AV43" s="3">
        <v>1</v>
      </c>
      <c r="AW43" s="43">
        <f t="shared" si="69"/>
        <v>5</v>
      </c>
      <c r="AX43" s="3">
        <v>1</v>
      </c>
      <c r="AY43" s="3">
        <v>1</v>
      </c>
      <c r="AZ43" s="3">
        <v>1</v>
      </c>
      <c r="BA43" s="3">
        <v>1</v>
      </c>
      <c r="BB43" s="3">
        <v>1</v>
      </c>
      <c r="BC43" s="3">
        <v>1</v>
      </c>
      <c r="BD43" s="3">
        <v>1</v>
      </c>
      <c r="BE43" s="43">
        <f t="shared" si="70"/>
        <v>7</v>
      </c>
      <c r="BF43" s="3">
        <v>1</v>
      </c>
      <c r="BG43" s="3">
        <v>1</v>
      </c>
      <c r="BH43" s="3">
        <v>1</v>
      </c>
      <c r="BI43" s="3">
        <v>1</v>
      </c>
      <c r="BJ43" s="3">
        <v>1</v>
      </c>
      <c r="BK43" s="3">
        <v>1</v>
      </c>
      <c r="BL43" s="3">
        <v>1</v>
      </c>
      <c r="BM43" s="3">
        <v>1</v>
      </c>
      <c r="BN43" s="43">
        <f t="shared" si="71"/>
        <v>8</v>
      </c>
      <c r="BQ43" s="22">
        <f t="shared" si="7"/>
        <v>49</v>
      </c>
      <c r="BR43" s="22">
        <f t="shared" si="8"/>
        <v>87.5</v>
      </c>
    </row>
    <row r="44" spans="1:70" ht="18" x14ac:dyDescent="0.35">
      <c r="A44" s="2">
        <v>39</v>
      </c>
      <c r="B44" s="16" t="s">
        <v>112</v>
      </c>
      <c r="C44" s="20" t="s">
        <v>113</v>
      </c>
      <c r="D44" s="3">
        <v>0</v>
      </c>
      <c r="E44" s="3">
        <v>1</v>
      </c>
      <c r="F44" s="3">
        <v>1</v>
      </c>
      <c r="G44" s="3">
        <v>0</v>
      </c>
      <c r="H44" s="3">
        <v>1</v>
      </c>
      <c r="I44" s="3">
        <v>1</v>
      </c>
      <c r="J44" s="3">
        <v>1</v>
      </c>
      <c r="K44" s="3">
        <v>0</v>
      </c>
      <c r="L44" s="3">
        <v>1</v>
      </c>
      <c r="M44" s="3">
        <v>1</v>
      </c>
      <c r="N44" s="39">
        <f t="shared" si="72"/>
        <v>7</v>
      </c>
      <c r="O44" s="3">
        <v>1</v>
      </c>
      <c r="P44" s="3">
        <v>0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9">
        <f t="shared" si="74"/>
        <v>6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9">
        <f t="shared" si="75"/>
        <v>7</v>
      </c>
      <c r="AE44" s="3">
        <v>1</v>
      </c>
      <c r="AF44" s="3">
        <v>0</v>
      </c>
      <c r="AG44" s="3">
        <v>1</v>
      </c>
      <c r="AH44" s="3">
        <v>1</v>
      </c>
      <c r="AI44" s="3">
        <v>0</v>
      </c>
      <c r="AJ44" s="3">
        <v>1</v>
      </c>
      <c r="AK44" s="3">
        <v>1</v>
      </c>
      <c r="AL44" s="3">
        <v>1</v>
      </c>
      <c r="AM44" s="43">
        <f t="shared" si="73"/>
        <v>6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43">
        <f t="shared" si="69"/>
        <v>9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43">
        <f t="shared" si="70"/>
        <v>7</v>
      </c>
      <c r="BF44" s="3">
        <v>1</v>
      </c>
      <c r="BG44" s="3">
        <v>1</v>
      </c>
      <c r="BH44" s="3">
        <v>1</v>
      </c>
      <c r="BI44" s="3">
        <v>1</v>
      </c>
      <c r="BJ44" s="3">
        <v>1</v>
      </c>
      <c r="BK44" s="3">
        <v>1</v>
      </c>
      <c r="BL44" s="3">
        <v>1</v>
      </c>
      <c r="BM44" s="3">
        <v>1</v>
      </c>
      <c r="BN44" s="43">
        <f t="shared" si="71"/>
        <v>8</v>
      </c>
      <c r="BQ44" s="22">
        <f t="shared" si="7"/>
        <v>50</v>
      </c>
      <c r="BR44" s="22">
        <f t="shared" si="8"/>
        <v>89.285714285714292</v>
      </c>
    </row>
    <row r="45" spans="1:70" ht="18" x14ac:dyDescent="0.35">
      <c r="A45" s="2">
        <v>40</v>
      </c>
      <c r="B45" s="16" t="s">
        <v>114</v>
      </c>
      <c r="C45" s="20" t="s">
        <v>115</v>
      </c>
      <c r="D45" s="3">
        <v>0</v>
      </c>
      <c r="E45" s="3">
        <v>1</v>
      </c>
      <c r="F45" s="3">
        <v>1</v>
      </c>
      <c r="G45" s="3">
        <v>0</v>
      </c>
      <c r="H45" s="3">
        <v>1</v>
      </c>
      <c r="I45" s="3">
        <v>1</v>
      </c>
      <c r="J45" s="3">
        <v>1</v>
      </c>
      <c r="K45" s="3">
        <v>0</v>
      </c>
      <c r="L45" s="3">
        <v>1</v>
      </c>
      <c r="M45" s="3">
        <v>1</v>
      </c>
      <c r="N45" s="39">
        <f t="shared" si="72"/>
        <v>7</v>
      </c>
      <c r="O45" s="3">
        <v>1</v>
      </c>
      <c r="P45" s="3">
        <v>1</v>
      </c>
      <c r="Q45" s="3">
        <v>0</v>
      </c>
      <c r="R45" s="3">
        <v>1</v>
      </c>
      <c r="S45" s="3">
        <v>1</v>
      </c>
      <c r="T45" s="3">
        <v>1</v>
      </c>
      <c r="U45" s="3">
        <v>1</v>
      </c>
      <c r="V45" s="39">
        <f t="shared" si="74"/>
        <v>6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9">
        <f t="shared" si="75"/>
        <v>7</v>
      </c>
      <c r="AE45" s="3">
        <v>1</v>
      </c>
      <c r="AF45" s="3">
        <v>1</v>
      </c>
      <c r="AG45" s="3">
        <v>1</v>
      </c>
      <c r="AH45" s="3">
        <v>1</v>
      </c>
      <c r="AI45" s="3">
        <v>0</v>
      </c>
      <c r="AJ45" s="3">
        <v>1</v>
      </c>
      <c r="AK45" s="3">
        <v>1</v>
      </c>
      <c r="AL45" s="3">
        <v>1</v>
      </c>
      <c r="AM45" s="43">
        <f t="shared" si="73"/>
        <v>7</v>
      </c>
      <c r="AN45" s="3">
        <v>1</v>
      </c>
      <c r="AO45" s="3">
        <v>0</v>
      </c>
      <c r="AP45" s="3">
        <v>1</v>
      </c>
      <c r="AQ45" s="3">
        <v>0</v>
      </c>
      <c r="AR45" s="3">
        <v>1</v>
      </c>
      <c r="AS45" s="3">
        <v>0</v>
      </c>
      <c r="AT45" s="3">
        <v>0</v>
      </c>
      <c r="AU45" s="3">
        <v>1</v>
      </c>
      <c r="AV45" s="3">
        <v>1</v>
      </c>
      <c r="AW45" s="43">
        <f t="shared" si="69"/>
        <v>5</v>
      </c>
      <c r="AX45" s="3">
        <v>1</v>
      </c>
      <c r="AY45" s="3">
        <v>1</v>
      </c>
      <c r="AZ45" s="3">
        <v>1</v>
      </c>
      <c r="BA45" s="3">
        <v>1</v>
      </c>
      <c r="BB45" s="3">
        <v>1</v>
      </c>
      <c r="BC45" s="3">
        <v>1</v>
      </c>
      <c r="BD45" s="3">
        <v>1</v>
      </c>
      <c r="BE45" s="43">
        <f t="shared" si="70"/>
        <v>7</v>
      </c>
      <c r="BF45" s="3">
        <v>1</v>
      </c>
      <c r="BG45" s="3">
        <v>1</v>
      </c>
      <c r="BH45" s="3">
        <v>1</v>
      </c>
      <c r="BI45" s="3">
        <v>1</v>
      </c>
      <c r="BJ45" s="3">
        <v>1</v>
      </c>
      <c r="BK45" s="3">
        <v>1</v>
      </c>
      <c r="BL45" s="3">
        <v>1</v>
      </c>
      <c r="BM45" s="3">
        <v>1</v>
      </c>
      <c r="BN45" s="43">
        <f t="shared" si="71"/>
        <v>8</v>
      </c>
      <c r="BQ45" s="22">
        <f t="shared" si="7"/>
        <v>47</v>
      </c>
      <c r="BR45" s="22">
        <f t="shared" si="8"/>
        <v>83.928571428571431</v>
      </c>
    </row>
    <row r="46" spans="1:70" ht="18" x14ac:dyDescent="0.35">
      <c r="A46" s="2">
        <v>41</v>
      </c>
      <c r="B46" s="16" t="s">
        <v>116</v>
      </c>
      <c r="C46" s="20" t="s">
        <v>117</v>
      </c>
      <c r="D46" s="3">
        <v>0</v>
      </c>
      <c r="E46" s="3">
        <v>1</v>
      </c>
      <c r="F46" s="3">
        <v>1</v>
      </c>
      <c r="G46" s="3">
        <v>0</v>
      </c>
      <c r="H46" s="3">
        <v>1</v>
      </c>
      <c r="I46" s="3">
        <v>1</v>
      </c>
      <c r="J46" s="3">
        <v>1</v>
      </c>
      <c r="K46" s="3">
        <v>0</v>
      </c>
      <c r="L46" s="3">
        <v>1</v>
      </c>
      <c r="M46" s="3">
        <v>1</v>
      </c>
      <c r="N46" s="39">
        <f t="shared" si="72"/>
        <v>7</v>
      </c>
      <c r="O46" s="3">
        <v>1</v>
      </c>
      <c r="P46" s="3">
        <v>0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9">
        <f t="shared" si="74"/>
        <v>6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9">
        <f t="shared" si="75"/>
        <v>7</v>
      </c>
      <c r="AE46" s="3">
        <v>1</v>
      </c>
      <c r="AF46" s="3">
        <v>0</v>
      </c>
      <c r="AG46" s="3">
        <v>1</v>
      </c>
      <c r="AH46" s="3">
        <v>1</v>
      </c>
      <c r="AI46" s="3">
        <v>0</v>
      </c>
      <c r="AJ46" s="3">
        <v>1</v>
      </c>
      <c r="AK46" s="3">
        <v>1</v>
      </c>
      <c r="AL46" s="3">
        <v>1</v>
      </c>
      <c r="AM46" s="43">
        <f t="shared" si="73"/>
        <v>6</v>
      </c>
      <c r="AN46" s="3">
        <v>1</v>
      </c>
      <c r="AO46" s="3">
        <v>1</v>
      </c>
      <c r="AP46" s="3">
        <v>1</v>
      </c>
      <c r="AQ46" s="3">
        <v>1</v>
      </c>
      <c r="AR46" s="3">
        <v>1</v>
      </c>
      <c r="AS46" s="3">
        <v>1</v>
      </c>
      <c r="AT46" s="3">
        <v>1</v>
      </c>
      <c r="AU46" s="3">
        <v>1</v>
      </c>
      <c r="AV46" s="3">
        <v>1</v>
      </c>
      <c r="AW46" s="43">
        <f t="shared" si="69"/>
        <v>9</v>
      </c>
      <c r="AX46" s="3">
        <v>1</v>
      </c>
      <c r="AY46" s="3">
        <v>1</v>
      </c>
      <c r="AZ46" s="3">
        <v>1</v>
      </c>
      <c r="BA46" s="3">
        <v>1</v>
      </c>
      <c r="BB46" s="3">
        <v>1</v>
      </c>
      <c r="BC46" s="3">
        <v>1</v>
      </c>
      <c r="BD46" s="3">
        <v>1</v>
      </c>
      <c r="BE46" s="43">
        <f t="shared" si="70"/>
        <v>7</v>
      </c>
      <c r="BF46" s="3">
        <v>1</v>
      </c>
      <c r="BG46" s="3">
        <v>1</v>
      </c>
      <c r="BH46" s="3">
        <v>1</v>
      </c>
      <c r="BI46" s="3">
        <v>1</v>
      </c>
      <c r="BJ46" s="3">
        <v>1</v>
      </c>
      <c r="BK46" s="3">
        <v>1</v>
      </c>
      <c r="BL46" s="3">
        <v>1</v>
      </c>
      <c r="BM46" s="3">
        <v>1</v>
      </c>
      <c r="BN46" s="43">
        <f t="shared" si="71"/>
        <v>8</v>
      </c>
      <c r="BQ46" s="22">
        <f t="shared" si="7"/>
        <v>50</v>
      </c>
      <c r="BR46" s="22">
        <f t="shared" si="8"/>
        <v>89.285714285714292</v>
      </c>
    </row>
    <row r="47" spans="1:70" ht="18" x14ac:dyDescent="0.35">
      <c r="A47" s="2">
        <v>42</v>
      </c>
      <c r="B47" s="16" t="s">
        <v>118</v>
      </c>
      <c r="C47" s="20" t="s">
        <v>119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9">
        <f t="shared" si="72"/>
        <v>10</v>
      </c>
      <c r="O47" s="3">
        <v>1</v>
      </c>
      <c r="P47" s="3">
        <v>1</v>
      </c>
      <c r="Q47" s="3">
        <v>1</v>
      </c>
      <c r="R47" s="3">
        <v>1</v>
      </c>
      <c r="S47" s="3">
        <v>0</v>
      </c>
      <c r="T47" s="3">
        <v>0</v>
      </c>
      <c r="U47" s="3">
        <v>1</v>
      </c>
      <c r="V47" s="39">
        <f t="shared" si="74"/>
        <v>5</v>
      </c>
      <c r="W47" s="3">
        <v>1</v>
      </c>
      <c r="X47" s="3">
        <v>1</v>
      </c>
      <c r="Y47" s="3">
        <v>1</v>
      </c>
      <c r="Z47" s="3">
        <v>1</v>
      </c>
      <c r="AA47" s="3">
        <v>0</v>
      </c>
      <c r="AB47" s="3">
        <v>1</v>
      </c>
      <c r="AC47" s="3">
        <v>1</v>
      </c>
      <c r="AD47" s="39">
        <f t="shared" si="75"/>
        <v>6</v>
      </c>
      <c r="AE47" s="3">
        <v>1</v>
      </c>
      <c r="AF47" s="3">
        <v>0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43">
        <f t="shared" si="73"/>
        <v>7</v>
      </c>
      <c r="AN47" s="3">
        <v>1</v>
      </c>
      <c r="AO47" s="3">
        <v>1</v>
      </c>
      <c r="AP47" s="3">
        <v>0</v>
      </c>
      <c r="AQ47" s="3">
        <v>1</v>
      </c>
      <c r="AR47" s="3">
        <v>0</v>
      </c>
      <c r="AS47" s="3">
        <v>1</v>
      </c>
      <c r="AT47" s="3">
        <v>0</v>
      </c>
      <c r="AU47" s="3">
        <v>0</v>
      </c>
      <c r="AV47" s="3">
        <v>1</v>
      </c>
      <c r="AW47" s="43">
        <f t="shared" si="69"/>
        <v>5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3">
        <v>1</v>
      </c>
      <c r="BD47" s="3">
        <v>1</v>
      </c>
      <c r="BE47" s="43">
        <f t="shared" si="70"/>
        <v>7</v>
      </c>
      <c r="BF47" s="3">
        <v>1</v>
      </c>
      <c r="BG47" s="3">
        <v>1</v>
      </c>
      <c r="BH47" s="3">
        <v>1</v>
      </c>
      <c r="BI47" s="3">
        <v>1</v>
      </c>
      <c r="BJ47" s="3">
        <v>1</v>
      </c>
      <c r="BK47" s="3">
        <v>1</v>
      </c>
      <c r="BL47" s="3">
        <v>1</v>
      </c>
      <c r="BM47" s="3">
        <v>1</v>
      </c>
      <c r="BN47" s="43">
        <f t="shared" si="71"/>
        <v>8</v>
      </c>
      <c r="BQ47" s="22">
        <f t="shared" si="7"/>
        <v>48</v>
      </c>
      <c r="BR47" s="22">
        <f t="shared" si="8"/>
        <v>85.714285714285708</v>
      </c>
    </row>
    <row r="48" spans="1:70" ht="18" x14ac:dyDescent="0.35">
      <c r="A48" s="2">
        <v>43</v>
      </c>
      <c r="B48" s="16" t="s">
        <v>120</v>
      </c>
      <c r="C48" s="20" t="s">
        <v>121</v>
      </c>
      <c r="D48" s="3">
        <v>0</v>
      </c>
      <c r="E48" s="3">
        <v>1</v>
      </c>
      <c r="F48" s="3">
        <v>1</v>
      </c>
      <c r="G48" s="3">
        <v>0</v>
      </c>
      <c r="H48" s="3">
        <v>1</v>
      </c>
      <c r="I48" s="3">
        <v>1</v>
      </c>
      <c r="J48" s="3">
        <v>1</v>
      </c>
      <c r="K48" s="3">
        <v>0</v>
      </c>
      <c r="L48" s="3">
        <v>1</v>
      </c>
      <c r="M48" s="3">
        <v>1</v>
      </c>
      <c r="N48" s="39">
        <f t="shared" si="72"/>
        <v>7</v>
      </c>
      <c r="O48" s="3">
        <v>1</v>
      </c>
      <c r="P48" s="3">
        <v>0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9">
        <f t="shared" si="74"/>
        <v>6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  <c r="AB48" s="3">
        <v>1</v>
      </c>
      <c r="AC48" s="3">
        <v>1</v>
      </c>
      <c r="AD48" s="39">
        <f t="shared" si="75"/>
        <v>7</v>
      </c>
      <c r="AE48" s="3">
        <v>1</v>
      </c>
      <c r="AF48" s="3">
        <v>0</v>
      </c>
      <c r="AG48" s="3">
        <v>1</v>
      </c>
      <c r="AH48" s="3">
        <v>1</v>
      </c>
      <c r="AI48" s="3">
        <v>0</v>
      </c>
      <c r="AJ48" s="3">
        <v>1</v>
      </c>
      <c r="AK48" s="3">
        <v>1</v>
      </c>
      <c r="AL48" s="3">
        <v>1</v>
      </c>
      <c r="AM48" s="43">
        <f t="shared" si="73"/>
        <v>6</v>
      </c>
      <c r="AN48" s="3">
        <v>1</v>
      </c>
      <c r="AO48" s="3">
        <v>1</v>
      </c>
      <c r="AP48" s="3">
        <v>1</v>
      </c>
      <c r="AQ48" s="3">
        <v>1</v>
      </c>
      <c r="AR48" s="3">
        <v>1</v>
      </c>
      <c r="AS48" s="3">
        <v>1</v>
      </c>
      <c r="AT48" s="3">
        <v>1</v>
      </c>
      <c r="AU48" s="3">
        <v>1</v>
      </c>
      <c r="AV48" s="3">
        <v>1</v>
      </c>
      <c r="AW48" s="43">
        <f t="shared" si="69"/>
        <v>9</v>
      </c>
      <c r="AX48" s="3">
        <v>1</v>
      </c>
      <c r="AY48" s="3">
        <v>1</v>
      </c>
      <c r="AZ48" s="3">
        <v>1</v>
      </c>
      <c r="BA48" s="3">
        <v>1</v>
      </c>
      <c r="BB48" s="3">
        <v>1</v>
      </c>
      <c r="BC48" s="3">
        <v>1</v>
      </c>
      <c r="BD48" s="3">
        <v>1</v>
      </c>
      <c r="BE48" s="43">
        <f t="shared" si="70"/>
        <v>7</v>
      </c>
      <c r="BF48" s="3">
        <v>1</v>
      </c>
      <c r="BG48" s="3">
        <v>1</v>
      </c>
      <c r="BH48" s="3">
        <v>1</v>
      </c>
      <c r="BI48" s="3">
        <v>1</v>
      </c>
      <c r="BJ48" s="3">
        <v>1</v>
      </c>
      <c r="BK48" s="3">
        <v>1</v>
      </c>
      <c r="BL48" s="3">
        <v>1</v>
      </c>
      <c r="BM48" s="3">
        <v>1</v>
      </c>
      <c r="BN48" s="43">
        <f t="shared" si="71"/>
        <v>8</v>
      </c>
      <c r="BQ48" s="22">
        <f t="shared" si="7"/>
        <v>50</v>
      </c>
      <c r="BR48" s="22">
        <f t="shared" si="8"/>
        <v>89.285714285714292</v>
      </c>
    </row>
    <row r="49" spans="1:70" ht="18" x14ac:dyDescent="0.35">
      <c r="A49" s="2">
        <v>44</v>
      </c>
      <c r="B49" s="16" t="s">
        <v>122</v>
      </c>
      <c r="C49" s="20" t="s">
        <v>123</v>
      </c>
      <c r="D49" s="3">
        <v>0</v>
      </c>
      <c r="E49" s="3">
        <v>1</v>
      </c>
      <c r="F49" s="3">
        <v>1</v>
      </c>
      <c r="G49" s="3">
        <v>0</v>
      </c>
      <c r="H49" s="3">
        <v>1</v>
      </c>
      <c r="I49" s="3">
        <v>1</v>
      </c>
      <c r="J49" s="3">
        <v>1</v>
      </c>
      <c r="K49" s="3">
        <v>0</v>
      </c>
      <c r="L49" s="3">
        <v>1</v>
      </c>
      <c r="M49" s="3">
        <v>1</v>
      </c>
      <c r="N49" s="39">
        <f t="shared" si="72"/>
        <v>7</v>
      </c>
      <c r="O49" s="3">
        <v>1</v>
      </c>
      <c r="P49" s="3">
        <v>1</v>
      </c>
      <c r="Q49" s="3">
        <v>0</v>
      </c>
      <c r="R49" s="3">
        <v>1</v>
      </c>
      <c r="S49" s="3">
        <v>1</v>
      </c>
      <c r="T49" s="3">
        <v>1</v>
      </c>
      <c r="U49" s="3">
        <v>1</v>
      </c>
      <c r="V49" s="39">
        <f t="shared" si="74"/>
        <v>6</v>
      </c>
      <c r="W49" s="3">
        <v>1</v>
      </c>
      <c r="X49" s="3">
        <v>1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9">
        <f t="shared" si="75"/>
        <v>7</v>
      </c>
      <c r="AE49" s="3">
        <v>1</v>
      </c>
      <c r="AF49" s="3">
        <v>1</v>
      </c>
      <c r="AG49" s="3">
        <v>1</v>
      </c>
      <c r="AH49" s="3">
        <v>1</v>
      </c>
      <c r="AI49" s="3">
        <v>0</v>
      </c>
      <c r="AJ49" s="3">
        <v>1</v>
      </c>
      <c r="AK49" s="3">
        <v>1</v>
      </c>
      <c r="AL49" s="3">
        <v>1</v>
      </c>
      <c r="AM49" s="43">
        <f t="shared" si="73"/>
        <v>7</v>
      </c>
      <c r="AN49" s="3">
        <v>1</v>
      </c>
      <c r="AO49" s="3">
        <v>1</v>
      </c>
      <c r="AP49" s="3">
        <v>0</v>
      </c>
      <c r="AQ49" s="3">
        <v>1</v>
      </c>
      <c r="AR49" s="3">
        <v>0</v>
      </c>
      <c r="AS49" s="3">
        <v>1</v>
      </c>
      <c r="AT49" s="3">
        <v>0</v>
      </c>
      <c r="AU49" s="3">
        <v>0</v>
      </c>
      <c r="AV49" s="3">
        <v>1</v>
      </c>
      <c r="AW49" s="43">
        <f t="shared" si="69"/>
        <v>5</v>
      </c>
      <c r="AX49" s="3">
        <v>1</v>
      </c>
      <c r="AY49" s="3">
        <v>0</v>
      </c>
      <c r="AZ49" s="3">
        <v>1</v>
      </c>
      <c r="BA49" s="3">
        <v>0</v>
      </c>
      <c r="BB49" s="3">
        <v>1</v>
      </c>
      <c r="BC49" s="3">
        <v>0</v>
      </c>
      <c r="BD49" s="3">
        <v>1</v>
      </c>
      <c r="BE49" s="43">
        <f t="shared" si="70"/>
        <v>4</v>
      </c>
      <c r="BF49" s="3">
        <v>1</v>
      </c>
      <c r="BG49" s="3">
        <v>1</v>
      </c>
      <c r="BH49" s="3">
        <v>1</v>
      </c>
      <c r="BI49" s="3">
        <v>1</v>
      </c>
      <c r="BJ49" s="3">
        <v>1</v>
      </c>
      <c r="BK49" s="3">
        <v>1</v>
      </c>
      <c r="BL49" s="3">
        <v>1</v>
      </c>
      <c r="BM49" s="3">
        <v>1</v>
      </c>
      <c r="BN49" s="43">
        <f t="shared" si="71"/>
        <v>8</v>
      </c>
      <c r="BQ49" s="22">
        <f t="shared" si="7"/>
        <v>44</v>
      </c>
      <c r="BR49" s="22">
        <f t="shared" si="8"/>
        <v>78.571428571428569</v>
      </c>
    </row>
    <row r="50" spans="1:70" ht="18" x14ac:dyDescent="0.35">
      <c r="A50" s="2">
        <v>45</v>
      </c>
      <c r="B50" s="16" t="s">
        <v>124</v>
      </c>
      <c r="C50" s="20" t="s">
        <v>125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9">
        <f t="shared" si="72"/>
        <v>10</v>
      </c>
      <c r="O50" s="3">
        <v>1</v>
      </c>
      <c r="P50" s="3">
        <v>1</v>
      </c>
      <c r="Q50" s="3">
        <v>1</v>
      </c>
      <c r="R50" s="3">
        <v>1</v>
      </c>
      <c r="S50" s="3">
        <v>0</v>
      </c>
      <c r="T50" s="3">
        <v>1</v>
      </c>
      <c r="U50" s="3">
        <v>1</v>
      </c>
      <c r="V50" s="39">
        <f t="shared" si="74"/>
        <v>6</v>
      </c>
      <c r="W50" s="3">
        <v>1</v>
      </c>
      <c r="X50" s="3">
        <v>1</v>
      </c>
      <c r="Y50" s="3">
        <v>0</v>
      </c>
      <c r="Z50" s="3">
        <v>1</v>
      </c>
      <c r="AA50" s="3">
        <v>1</v>
      </c>
      <c r="AB50" s="3">
        <v>1</v>
      </c>
      <c r="AC50" s="3">
        <v>1</v>
      </c>
      <c r="AD50" s="39">
        <f t="shared" si="75"/>
        <v>6</v>
      </c>
      <c r="AE50" s="3">
        <v>1</v>
      </c>
      <c r="AF50" s="3">
        <v>1</v>
      </c>
      <c r="AG50" s="3">
        <v>1</v>
      </c>
      <c r="AH50" s="3">
        <v>0</v>
      </c>
      <c r="AI50" s="3">
        <v>1</v>
      </c>
      <c r="AJ50" s="3">
        <v>1</v>
      </c>
      <c r="AK50" s="3">
        <v>1</v>
      </c>
      <c r="AL50" s="3">
        <v>1</v>
      </c>
      <c r="AM50" s="43">
        <f t="shared" si="73"/>
        <v>7</v>
      </c>
      <c r="AN50" s="3">
        <v>0</v>
      </c>
      <c r="AO50" s="3">
        <v>1</v>
      </c>
      <c r="AP50" s="3">
        <v>0</v>
      </c>
      <c r="AQ50" s="3">
        <v>1</v>
      </c>
      <c r="AR50" s="3">
        <v>0</v>
      </c>
      <c r="AS50" s="3">
        <v>0</v>
      </c>
      <c r="AT50" s="3">
        <v>1</v>
      </c>
      <c r="AU50" s="3">
        <v>1</v>
      </c>
      <c r="AV50" s="3">
        <v>1</v>
      </c>
      <c r="AW50" s="43">
        <f t="shared" si="69"/>
        <v>5</v>
      </c>
      <c r="AX50" s="3">
        <v>1</v>
      </c>
      <c r="AY50" s="3">
        <v>1</v>
      </c>
      <c r="AZ50" s="3">
        <v>1</v>
      </c>
      <c r="BA50" s="3">
        <v>1</v>
      </c>
      <c r="BB50" s="3">
        <v>1</v>
      </c>
      <c r="BC50" s="3">
        <v>1</v>
      </c>
      <c r="BD50" s="3">
        <v>1</v>
      </c>
      <c r="BE50" s="43">
        <f t="shared" si="70"/>
        <v>7</v>
      </c>
      <c r="BF50" s="3">
        <v>1</v>
      </c>
      <c r="BG50" s="3">
        <v>1</v>
      </c>
      <c r="BH50" s="3">
        <v>1</v>
      </c>
      <c r="BI50" s="3">
        <v>1</v>
      </c>
      <c r="BJ50" s="3">
        <v>1</v>
      </c>
      <c r="BK50" s="3">
        <v>1</v>
      </c>
      <c r="BL50" s="3">
        <v>1</v>
      </c>
      <c r="BM50" s="3">
        <v>1</v>
      </c>
      <c r="BN50" s="43">
        <f t="shared" si="71"/>
        <v>8</v>
      </c>
      <c r="BQ50" s="22">
        <f t="shared" si="7"/>
        <v>49</v>
      </c>
      <c r="BR50" s="22">
        <f t="shared" si="8"/>
        <v>87.5</v>
      </c>
    </row>
    <row r="51" spans="1:70" ht="18" x14ac:dyDescent="0.35">
      <c r="A51" s="2">
        <v>46</v>
      </c>
      <c r="B51" s="16" t="s">
        <v>126</v>
      </c>
      <c r="C51" s="20" t="s">
        <v>127</v>
      </c>
      <c r="D51" s="3">
        <v>0</v>
      </c>
      <c r="E51" s="3">
        <v>1</v>
      </c>
      <c r="F51" s="3">
        <v>1</v>
      </c>
      <c r="G51" s="3">
        <v>0</v>
      </c>
      <c r="H51" s="3">
        <v>1</v>
      </c>
      <c r="I51" s="3">
        <v>1</v>
      </c>
      <c r="J51" s="3">
        <v>1</v>
      </c>
      <c r="K51" s="3">
        <v>0</v>
      </c>
      <c r="L51" s="3">
        <v>1</v>
      </c>
      <c r="M51" s="3">
        <v>1</v>
      </c>
      <c r="N51" s="39">
        <f t="shared" si="72"/>
        <v>7</v>
      </c>
      <c r="O51" s="3">
        <v>1</v>
      </c>
      <c r="P51" s="3">
        <v>0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9">
        <f t="shared" si="74"/>
        <v>6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9">
        <f t="shared" si="75"/>
        <v>7</v>
      </c>
      <c r="AE51" s="3">
        <v>1</v>
      </c>
      <c r="AF51" s="3">
        <v>0</v>
      </c>
      <c r="AG51" s="3">
        <v>1</v>
      </c>
      <c r="AH51" s="3">
        <v>1</v>
      </c>
      <c r="AI51" s="3">
        <v>0</v>
      </c>
      <c r="AJ51" s="3">
        <v>1</v>
      </c>
      <c r="AK51" s="3">
        <v>1</v>
      </c>
      <c r="AL51" s="3">
        <v>1</v>
      </c>
      <c r="AM51" s="43">
        <f t="shared" si="73"/>
        <v>6</v>
      </c>
      <c r="AN51" s="3">
        <v>1</v>
      </c>
      <c r="AO51" s="3">
        <v>1</v>
      </c>
      <c r="AP51" s="3">
        <v>1</v>
      </c>
      <c r="AQ51" s="3">
        <v>1</v>
      </c>
      <c r="AR51" s="3">
        <v>1</v>
      </c>
      <c r="AS51" s="3">
        <v>1</v>
      </c>
      <c r="AT51" s="3">
        <v>1</v>
      </c>
      <c r="AU51" s="3">
        <v>1</v>
      </c>
      <c r="AV51" s="3">
        <v>1</v>
      </c>
      <c r="AW51" s="43">
        <f t="shared" si="69"/>
        <v>9</v>
      </c>
      <c r="AX51" s="3">
        <v>1</v>
      </c>
      <c r="AY51" s="3">
        <v>1</v>
      </c>
      <c r="AZ51" s="3">
        <v>1</v>
      </c>
      <c r="BA51" s="3">
        <v>1</v>
      </c>
      <c r="BB51" s="3">
        <v>1</v>
      </c>
      <c r="BC51" s="3">
        <v>1</v>
      </c>
      <c r="BD51" s="3">
        <v>1</v>
      </c>
      <c r="BE51" s="43">
        <f t="shared" si="70"/>
        <v>7</v>
      </c>
      <c r="BF51" s="3">
        <v>1</v>
      </c>
      <c r="BG51" s="3">
        <v>1</v>
      </c>
      <c r="BH51" s="3">
        <v>1</v>
      </c>
      <c r="BI51" s="3">
        <v>1</v>
      </c>
      <c r="BJ51" s="3">
        <v>1</v>
      </c>
      <c r="BK51" s="3">
        <v>1</v>
      </c>
      <c r="BL51" s="3">
        <v>1</v>
      </c>
      <c r="BM51" s="3">
        <v>1</v>
      </c>
      <c r="BN51" s="43">
        <f t="shared" si="71"/>
        <v>8</v>
      </c>
      <c r="BQ51" s="22">
        <f t="shared" si="7"/>
        <v>50</v>
      </c>
      <c r="BR51" s="22">
        <f t="shared" si="8"/>
        <v>89.285714285714292</v>
      </c>
    </row>
    <row r="52" spans="1:70" ht="18" x14ac:dyDescent="0.35">
      <c r="A52" s="2">
        <v>47</v>
      </c>
      <c r="B52" s="16" t="s">
        <v>128</v>
      </c>
      <c r="C52" s="20" t="s">
        <v>129</v>
      </c>
      <c r="D52" s="3">
        <v>0</v>
      </c>
      <c r="E52" s="3">
        <v>1</v>
      </c>
      <c r="F52" s="3">
        <v>1</v>
      </c>
      <c r="G52" s="3">
        <v>0</v>
      </c>
      <c r="H52" s="3">
        <v>1</v>
      </c>
      <c r="I52" s="3">
        <v>1</v>
      </c>
      <c r="J52" s="3">
        <v>1</v>
      </c>
      <c r="K52" s="3">
        <v>0</v>
      </c>
      <c r="L52" s="3">
        <v>1</v>
      </c>
      <c r="M52" s="3">
        <v>1</v>
      </c>
      <c r="N52" s="39">
        <f t="shared" si="72"/>
        <v>7</v>
      </c>
      <c r="O52" s="3">
        <v>1</v>
      </c>
      <c r="P52" s="3">
        <v>1</v>
      </c>
      <c r="Q52" s="3">
        <v>0</v>
      </c>
      <c r="R52" s="3">
        <v>1</v>
      </c>
      <c r="S52" s="3">
        <v>1</v>
      </c>
      <c r="T52" s="3">
        <v>1</v>
      </c>
      <c r="U52" s="3">
        <v>1</v>
      </c>
      <c r="V52" s="39">
        <f t="shared" si="74"/>
        <v>6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9">
        <f t="shared" si="75"/>
        <v>7</v>
      </c>
      <c r="AE52" s="3">
        <v>1</v>
      </c>
      <c r="AF52" s="3">
        <v>1</v>
      </c>
      <c r="AG52" s="3">
        <v>1</v>
      </c>
      <c r="AH52" s="3">
        <v>1</v>
      </c>
      <c r="AI52" s="3">
        <v>0</v>
      </c>
      <c r="AJ52" s="3">
        <v>1</v>
      </c>
      <c r="AK52" s="3">
        <v>1</v>
      </c>
      <c r="AL52" s="3">
        <v>1</v>
      </c>
      <c r="AM52" s="43">
        <f t="shared" si="73"/>
        <v>7</v>
      </c>
      <c r="AN52" s="3">
        <v>1</v>
      </c>
      <c r="AO52" s="3">
        <v>1</v>
      </c>
      <c r="AP52" s="3">
        <v>0</v>
      </c>
      <c r="AQ52" s="3">
        <v>1</v>
      </c>
      <c r="AR52" s="3">
        <v>0</v>
      </c>
      <c r="AS52" s="3">
        <v>1</v>
      </c>
      <c r="AT52" s="3">
        <v>0</v>
      </c>
      <c r="AU52" s="3">
        <v>0</v>
      </c>
      <c r="AV52" s="3">
        <v>1</v>
      </c>
      <c r="AW52" s="43">
        <f t="shared" si="69"/>
        <v>5</v>
      </c>
      <c r="AX52" s="3">
        <v>0</v>
      </c>
      <c r="AY52" s="3">
        <v>1</v>
      </c>
      <c r="AZ52" s="3">
        <v>0</v>
      </c>
      <c r="BA52" s="3">
        <v>1</v>
      </c>
      <c r="BB52" s="3">
        <v>0</v>
      </c>
      <c r="BC52" s="3">
        <v>1</v>
      </c>
      <c r="BD52" s="3">
        <v>1</v>
      </c>
      <c r="BE52" s="43">
        <f t="shared" si="70"/>
        <v>4</v>
      </c>
      <c r="BF52" s="3">
        <v>1</v>
      </c>
      <c r="BG52" s="3">
        <v>1</v>
      </c>
      <c r="BH52" s="3">
        <v>1</v>
      </c>
      <c r="BI52" s="3">
        <v>1</v>
      </c>
      <c r="BJ52" s="3">
        <v>1</v>
      </c>
      <c r="BK52" s="3">
        <v>1</v>
      </c>
      <c r="BL52" s="3">
        <v>1</v>
      </c>
      <c r="BM52" s="3">
        <v>1</v>
      </c>
      <c r="BN52" s="43">
        <f t="shared" si="71"/>
        <v>8</v>
      </c>
      <c r="BQ52" s="22">
        <f t="shared" si="7"/>
        <v>44</v>
      </c>
      <c r="BR52" s="22">
        <f t="shared" si="8"/>
        <v>78.571428571428569</v>
      </c>
    </row>
    <row r="53" spans="1:70" ht="18" x14ac:dyDescent="0.35">
      <c r="A53" s="2">
        <v>48</v>
      </c>
      <c r="B53" s="16" t="s">
        <v>130</v>
      </c>
      <c r="C53" s="20" t="s">
        <v>131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9">
        <f t="shared" si="72"/>
        <v>10</v>
      </c>
      <c r="O53" s="3">
        <v>1</v>
      </c>
      <c r="P53" s="3">
        <v>1</v>
      </c>
      <c r="Q53" s="3">
        <v>1</v>
      </c>
      <c r="R53" s="3">
        <v>1</v>
      </c>
      <c r="S53" s="3">
        <v>0</v>
      </c>
      <c r="T53" s="3">
        <v>0</v>
      </c>
      <c r="U53" s="3">
        <v>1</v>
      </c>
      <c r="V53" s="39">
        <f t="shared" si="74"/>
        <v>5</v>
      </c>
      <c r="W53" s="3">
        <v>1</v>
      </c>
      <c r="X53" s="3">
        <v>1</v>
      </c>
      <c r="Y53" s="3">
        <v>1</v>
      </c>
      <c r="Z53" s="3">
        <v>1</v>
      </c>
      <c r="AA53" s="3">
        <v>0</v>
      </c>
      <c r="AB53" s="3">
        <v>1</v>
      </c>
      <c r="AC53" s="3">
        <v>1</v>
      </c>
      <c r="AD53" s="39">
        <f t="shared" si="75"/>
        <v>6</v>
      </c>
      <c r="AE53" s="3">
        <v>1</v>
      </c>
      <c r="AF53" s="3">
        <v>0</v>
      </c>
      <c r="AG53" s="3">
        <v>1</v>
      </c>
      <c r="AH53" s="3">
        <v>1</v>
      </c>
      <c r="AI53" s="3">
        <v>1</v>
      </c>
      <c r="AJ53" s="3">
        <v>1</v>
      </c>
      <c r="AK53" s="3">
        <v>1</v>
      </c>
      <c r="AL53" s="3">
        <v>1</v>
      </c>
      <c r="AM53" s="43">
        <f t="shared" si="73"/>
        <v>7</v>
      </c>
      <c r="AN53" s="3">
        <v>1</v>
      </c>
      <c r="AO53" s="3">
        <v>1</v>
      </c>
      <c r="AP53" s="3">
        <v>1</v>
      </c>
      <c r="AQ53" s="3">
        <v>0</v>
      </c>
      <c r="AR53" s="3">
        <v>1</v>
      </c>
      <c r="AS53" s="3">
        <v>0</v>
      </c>
      <c r="AT53" s="3">
        <v>1</v>
      </c>
      <c r="AU53" s="3">
        <v>0</v>
      </c>
      <c r="AV53" s="3">
        <v>0</v>
      </c>
      <c r="AW53" s="43">
        <f t="shared" si="69"/>
        <v>5</v>
      </c>
      <c r="AX53" s="3">
        <v>1</v>
      </c>
      <c r="AY53" s="3">
        <v>1</v>
      </c>
      <c r="AZ53" s="3">
        <v>1</v>
      </c>
      <c r="BA53" s="3">
        <v>1</v>
      </c>
      <c r="BB53" s="3">
        <v>1</v>
      </c>
      <c r="BC53" s="3">
        <v>1</v>
      </c>
      <c r="BD53" s="3">
        <v>1</v>
      </c>
      <c r="BE53" s="43">
        <f t="shared" si="70"/>
        <v>7</v>
      </c>
      <c r="BF53" s="3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3">
        <v>1</v>
      </c>
      <c r="BM53" s="3">
        <v>1</v>
      </c>
      <c r="BN53" s="43">
        <f t="shared" si="71"/>
        <v>8</v>
      </c>
      <c r="BQ53" s="22">
        <f t="shared" si="7"/>
        <v>48</v>
      </c>
      <c r="BR53" s="22">
        <f t="shared" si="8"/>
        <v>85.714285714285708</v>
      </c>
    </row>
    <row r="54" spans="1:70" ht="18" x14ac:dyDescent="0.35">
      <c r="A54" s="2">
        <v>49</v>
      </c>
      <c r="B54" s="16" t="s">
        <v>132</v>
      </c>
      <c r="C54" s="20" t="s">
        <v>133</v>
      </c>
      <c r="D54" s="3">
        <v>0</v>
      </c>
      <c r="E54" s="3">
        <v>1</v>
      </c>
      <c r="F54" s="3">
        <v>1</v>
      </c>
      <c r="G54" s="3">
        <v>0</v>
      </c>
      <c r="H54" s="3">
        <v>1</v>
      </c>
      <c r="I54" s="3">
        <v>1</v>
      </c>
      <c r="J54" s="3">
        <v>1</v>
      </c>
      <c r="K54" s="3">
        <v>0</v>
      </c>
      <c r="L54" s="3">
        <v>1</v>
      </c>
      <c r="M54" s="3">
        <v>1</v>
      </c>
      <c r="N54" s="39">
        <f t="shared" si="72"/>
        <v>7</v>
      </c>
      <c r="O54" s="3">
        <v>1</v>
      </c>
      <c r="P54" s="3">
        <v>0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9">
        <f t="shared" si="74"/>
        <v>6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9">
        <f t="shared" si="75"/>
        <v>7</v>
      </c>
      <c r="AE54" s="3">
        <v>1</v>
      </c>
      <c r="AF54" s="3">
        <v>0</v>
      </c>
      <c r="AG54" s="3">
        <v>1</v>
      </c>
      <c r="AH54" s="3">
        <v>1</v>
      </c>
      <c r="AI54" s="3">
        <v>0</v>
      </c>
      <c r="AJ54" s="3">
        <v>1</v>
      </c>
      <c r="AK54" s="3">
        <v>1</v>
      </c>
      <c r="AL54" s="3">
        <v>1</v>
      </c>
      <c r="AM54" s="43">
        <f t="shared" si="73"/>
        <v>6</v>
      </c>
      <c r="AN54" s="3">
        <v>1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1</v>
      </c>
      <c r="AW54" s="43">
        <f t="shared" si="69"/>
        <v>9</v>
      </c>
      <c r="AX54" s="3">
        <v>1</v>
      </c>
      <c r="AY54" s="3">
        <v>1</v>
      </c>
      <c r="AZ54" s="3">
        <v>1</v>
      </c>
      <c r="BA54" s="3">
        <v>1</v>
      </c>
      <c r="BB54" s="3">
        <v>1</v>
      </c>
      <c r="BC54" s="3">
        <v>1</v>
      </c>
      <c r="BD54" s="3">
        <v>1</v>
      </c>
      <c r="BE54" s="43">
        <f t="shared" si="70"/>
        <v>7</v>
      </c>
      <c r="BF54" s="3">
        <v>1</v>
      </c>
      <c r="BG54" s="3">
        <v>1</v>
      </c>
      <c r="BH54" s="3">
        <v>1</v>
      </c>
      <c r="BI54" s="3">
        <v>1</v>
      </c>
      <c r="BJ54" s="3">
        <v>1</v>
      </c>
      <c r="BK54" s="3">
        <v>1</v>
      </c>
      <c r="BL54" s="3">
        <v>1</v>
      </c>
      <c r="BM54" s="3">
        <v>1</v>
      </c>
      <c r="BN54" s="43">
        <f t="shared" si="71"/>
        <v>8</v>
      </c>
      <c r="BQ54" s="22">
        <f t="shared" si="7"/>
        <v>50</v>
      </c>
      <c r="BR54" s="22">
        <f t="shared" si="8"/>
        <v>89.285714285714292</v>
      </c>
    </row>
    <row r="55" spans="1:70" ht="18" x14ac:dyDescent="0.35">
      <c r="A55" s="2">
        <v>50</v>
      </c>
      <c r="B55" s="16" t="s">
        <v>134</v>
      </c>
      <c r="C55" s="20" t="s">
        <v>135</v>
      </c>
      <c r="D55" s="3">
        <v>0</v>
      </c>
      <c r="E55" s="3">
        <v>1</v>
      </c>
      <c r="F55" s="3">
        <v>1</v>
      </c>
      <c r="G55" s="3">
        <v>0</v>
      </c>
      <c r="H55" s="3">
        <v>1</v>
      </c>
      <c r="I55" s="3">
        <v>1</v>
      </c>
      <c r="J55" s="3">
        <v>1</v>
      </c>
      <c r="K55" s="3">
        <v>0</v>
      </c>
      <c r="L55" s="3">
        <v>1</v>
      </c>
      <c r="M55" s="3">
        <v>1</v>
      </c>
      <c r="N55" s="39">
        <f t="shared" si="72"/>
        <v>7</v>
      </c>
      <c r="O55" s="3">
        <v>1</v>
      </c>
      <c r="P55" s="3">
        <v>1</v>
      </c>
      <c r="Q55" s="3">
        <v>0</v>
      </c>
      <c r="R55" s="3">
        <v>1</v>
      </c>
      <c r="S55" s="3">
        <v>1</v>
      </c>
      <c r="T55" s="3">
        <v>1</v>
      </c>
      <c r="U55" s="3">
        <v>1</v>
      </c>
      <c r="V55" s="39">
        <f t="shared" si="74"/>
        <v>6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  <c r="AB55" s="3">
        <v>1</v>
      </c>
      <c r="AC55" s="3">
        <v>1</v>
      </c>
      <c r="AD55" s="39">
        <f t="shared" si="75"/>
        <v>7</v>
      </c>
      <c r="AE55" s="3">
        <v>1</v>
      </c>
      <c r="AF55" s="3">
        <v>1</v>
      </c>
      <c r="AG55" s="3">
        <v>1</v>
      </c>
      <c r="AH55" s="3">
        <v>1</v>
      </c>
      <c r="AI55" s="3">
        <v>0</v>
      </c>
      <c r="AJ55" s="3">
        <v>1</v>
      </c>
      <c r="AK55" s="3">
        <v>1</v>
      </c>
      <c r="AL55" s="3">
        <v>1</v>
      </c>
      <c r="AM55" s="43">
        <f t="shared" si="73"/>
        <v>7</v>
      </c>
      <c r="AN55" s="3">
        <v>1</v>
      </c>
      <c r="AO55" s="3">
        <v>1</v>
      </c>
      <c r="AP55" s="3">
        <v>0</v>
      </c>
      <c r="AQ55" s="3">
        <v>1</v>
      </c>
      <c r="AR55" s="3">
        <v>0</v>
      </c>
      <c r="AS55" s="3">
        <v>1</v>
      </c>
      <c r="AT55" s="3">
        <v>0</v>
      </c>
      <c r="AU55" s="3">
        <v>0</v>
      </c>
      <c r="AV55" s="3">
        <v>1</v>
      </c>
      <c r="AW55" s="43">
        <f t="shared" si="69"/>
        <v>5</v>
      </c>
      <c r="AX55" s="3">
        <v>1</v>
      </c>
      <c r="AY55" s="3">
        <v>1</v>
      </c>
      <c r="AZ55" s="3">
        <v>1</v>
      </c>
      <c r="BA55" s="3">
        <v>1</v>
      </c>
      <c r="BB55" s="3">
        <v>1</v>
      </c>
      <c r="BC55" s="3">
        <v>1</v>
      </c>
      <c r="BD55" s="3">
        <v>1</v>
      </c>
      <c r="BE55" s="43">
        <f t="shared" si="70"/>
        <v>7</v>
      </c>
      <c r="BF55" s="3">
        <v>1</v>
      </c>
      <c r="BG55" s="3">
        <v>0</v>
      </c>
      <c r="BH55" s="3">
        <v>1</v>
      </c>
      <c r="BI55" s="3">
        <v>0</v>
      </c>
      <c r="BJ55" s="3">
        <v>1</v>
      </c>
      <c r="BK55" s="3">
        <v>0</v>
      </c>
      <c r="BL55" s="3">
        <v>1</v>
      </c>
      <c r="BM55" s="3">
        <v>1</v>
      </c>
      <c r="BN55" s="43">
        <f t="shared" si="71"/>
        <v>5</v>
      </c>
      <c r="BQ55" s="22">
        <f t="shared" si="7"/>
        <v>44</v>
      </c>
      <c r="BR55" s="22">
        <f t="shared" si="8"/>
        <v>78.571428571428569</v>
      </c>
    </row>
    <row r="56" spans="1:70" ht="18" x14ac:dyDescent="0.35">
      <c r="A56" s="2">
        <v>51</v>
      </c>
      <c r="B56" s="16" t="s">
        <v>136</v>
      </c>
      <c r="C56" s="20" t="s">
        <v>137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9">
        <f t="shared" si="72"/>
        <v>10</v>
      </c>
      <c r="O56" s="3">
        <v>1</v>
      </c>
      <c r="P56" s="3">
        <v>1</v>
      </c>
      <c r="Q56" s="3">
        <v>1</v>
      </c>
      <c r="R56" s="3">
        <v>1</v>
      </c>
      <c r="S56" s="3">
        <v>0</v>
      </c>
      <c r="T56" s="3">
        <v>1</v>
      </c>
      <c r="U56" s="3">
        <v>1</v>
      </c>
      <c r="V56" s="39">
        <f t="shared" si="74"/>
        <v>6</v>
      </c>
      <c r="W56" s="3">
        <v>1</v>
      </c>
      <c r="X56" s="3">
        <v>1</v>
      </c>
      <c r="Y56" s="3">
        <v>0</v>
      </c>
      <c r="Z56" s="3">
        <v>1</v>
      </c>
      <c r="AA56" s="3">
        <v>1</v>
      </c>
      <c r="AB56" s="3">
        <v>1</v>
      </c>
      <c r="AC56" s="3">
        <v>1</v>
      </c>
      <c r="AD56" s="39">
        <f t="shared" si="75"/>
        <v>6</v>
      </c>
      <c r="AE56" s="3">
        <v>1</v>
      </c>
      <c r="AF56" s="3">
        <v>1</v>
      </c>
      <c r="AG56" s="3">
        <v>1</v>
      </c>
      <c r="AH56" s="3">
        <v>0</v>
      </c>
      <c r="AI56" s="3">
        <v>1</v>
      </c>
      <c r="AJ56" s="3">
        <v>1</v>
      </c>
      <c r="AK56" s="3">
        <v>1</v>
      </c>
      <c r="AL56" s="3">
        <v>1</v>
      </c>
      <c r="AM56" s="43">
        <f t="shared" si="73"/>
        <v>7</v>
      </c>
      <c r="AN56" s="3">
        <v>0</v>
      </c>
      <c r="AO56" s="3">
        <v>1</v>
      </c>
      <c r="AP56" s="3">
        <v>0</v>
      </c>
      <c r="AQ56" s="3">
        <v>1</v>
      </c>
      <c r="AR56" s="3">
        <v>0</v>
      </c>
      <c r="AS56" s="3">
        <v>0</v>
      </c>
      <c r="AT56" s="3">
        <v>1</v>
      </c>
      <c r="AU56" s="3">
        <v>1</v>
      </c>
      <c r="AV56" s="3">
        <v>1</v>
      </c>
      <c r="AW56" s="43">
        <f t="shared" si="69"/>
        <v>5</v>
      </c>
      <c r="AX56" s="3">
        <v>1</v>
      </c>
      <c r="AY56" s="3">
        <v>1</v>
      </c>
      <c r="AZ56" s="3">
        <v>1</v>
      </c>
      <c r="BA56" s="3">
        <v>1</v>
      </c>
      <c r="BB56" s="3">
        <v>1</v>
      </c>
      <c r="BC56" s="3">
        <v>1</v>
      </c>
      <c r="BD56" s="3">
        <v>1</v>
      </c>
      <c r="BE56" s="43">
        <f t="shared" si="70"/>
        <v>7</v>
      </c>
      <c r="BF56" s="3">
        <v>1</v>
      </c>
      <c r="BG56" s="3">
        <v>1</v>
      </c>
      <c r="BH56" s="3">
        <v>1</v>
      </c>
      <c r="BI56" s="3">
        <v>1</v>
      </c>
      <c r="BJ56" s="3">
        <v>1</v>
      </c>
      <c r="BK56" s="3">
        <v>1</v>
      </c>
      <c r="BL56" s="3">
        <v>1</v>
      </c>
      <c r="BM56" s="3">
        <v>1</v>
      </c>
      <c r="BN56" s="43">
        <f t="shared" si="71"/>
        <v>8</v>
      </c>
      <c r="BQ56" s="22">
        <f t="shared" si="7"/>
        <v>49</v>
      </c>
      <c r="BR56" s="22">
        <f t="shared" si="8"/>
        <v>87.5</v>
      </c>
    </row>
    <row r="57" spans="1:70" ht="18" x14ac:dyDescent="0.35">
      <c r="A57" s="2">
        <v>52</v>
      </c>
      <c r="B57" s="16" t="s">
        <v>138</v>
      </c>
      <c r="C57" s="20" t="s">
        <v>139</v>
      </c>
      <c r="D57" s="3">
        <v>0</v>
      </c>
      <c r="E57" s="3">
        <v>1</v>
      </c>
      <c r="F57" s="3">
        <v>1</v>
      </c>
      <c r="G57" s="3">
        <v>0</v>
      </c>
      <c r="H57" s="3">
        <v>1</v>
      </c>
      <c r="I57" s="3">
        <v>1</v>
      </c>
      <c r="J57" s="3">
        <v>1</v>
      </c>
      <c r="K57" s="3">
        <v>0</v>
      </c>
      <c r="L57" s="3">
        <v>1</v>
      </c>
      <c r="M57" s="3">
        <v>1</v>
      </c>
      <c r="N57" s="39">
        <f t="shared" si="72"/>
        <v>7</v>
      </c>
      <c r="O57" s="3">
        <v>1</v>
      </c>
      <c r="P57" s="3">
        <v>0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9">
        <f t="shared" si="74"/>
        <v>6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9">
        <f t="shared" si="75"/>
        <v>7</v>
      </c>
      <c r="AE57" s="3">
        <v>1</v>
      </c>
      <c r="AF57" s="3">
        <v>0</v>
      </c>
      <c r="AG57" s="3">
        <v>1</v>
      </c>
      <c r="AH57" s="3">
        <v>1</v>
      </c>
      <c r="AI57" s="3">
        <v>0</v>
      </c>
      <c r="AJ57" s="3">
        <v>1</v>
      </c>
      <c r="AK57" s="3">
        <v>1</v>
      </c>
      <c r="AL57" s="3">
        <v>1</v>
      </c>
      <c r="AM57" s="43">
        <f t="shared" si="73"/>
        <v>6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1</v>
      </c>
      <c r="AU57" s="3">
        <v>1</v>
      </c>
      <c r="AV57" s="3">
        <v>1</v>
      </c>
      <c r="AW57" s="43">
        <f t="shared" si="69"/>
        <v>9</v>
      </c>
      <c r="AX57" s="3">
        <v>1</v>
      </c>
      <c r="AY57" s="3">
        <v>1</v>
      </c>
      <c r="AZ57" s="3">
        <v>1</v>
      </c>
      <c r="BA57" s="3">
        <v>1</v>
      </c>
      <c r="BB57" s="3">
        <v>1</v>
      </c>
      <c r="BC57" s="3">
        <v>1</v>
      </c>
      <c r="BD57" s="3">
        <v>1</v>
      </c>
      <c r="BE57" s="43">
        <f t="shared" si="70"/>
        <v>7</v>
      </c>
      <c r="BF57" s="3">
        <v>1</v>
      </c>
      <c r="BG57" s="3">
        <v>1</v>
      </c>
      <c r="BH57" s="3">
        <v>1</v>
      </c>
      <c r="BI57" s="3">
        <v>1</v>
      </c>
      <c r="BJ57" s="3">
        <v>1</v>
      </c>
      <c r="BK57" s="3">
        <v>1</v>
      </c>
      <c r="BL57" s="3">
        <v>1</v>
      </c>
      <c r="BM57" s="3">
        <v>1</v>
      </c>
      <c r="BN57" s="43">
        <f t="shared" si="71"/>
        <v>8</v>
      </c>
      <c r="BQ57" s="22">
        <f t="shared" si="7"/>
        <v>50</v>
      </c>
      <c r="BR57" s="22">
        <f t="shared" si="8"/>
        <v>89.285714285714292</v>
      </c>
    </row>
    <row r="58" spans="1:70" ht="18" x14ac:dyDescent="0.35">
      <c r="A58" s="2">
        <v>53</v>
      </c>
      <c r="B58" s="16" t="s">
        <v>140</v>
      </c>
      <c r="C58" s="20" t="s">
        <v>141</v>
      </c>
      <c r="D58" s="3">
        <v>0</v>
      </c>
      <c r="E58" s="3">
        <v>1</v>
      </c>
      <c r="F58" s="3">
        <v>1</v>
      </c>
      <c r="G58" s="3">
        <v>0</v>
      </c>
      <c r="H58" s="3">
        <v>1</v>
      </c>
      <c r="I58" s="3">
        <v>1</v>
      </c>
      <c r="J58" s="3">
        <v>1</v>
      </c>
      <c r="K58" s="3">
        <v>0</v>
      </c>
      <c r="L58" s="3">
        <v>1</v>
      </c>
      <c r="M58" s="3">
        <v>1</v>
      </c>
      <c r="N58" s="39">
        <f t="shared" si="72"/>
        <v>7</v>
      </c>
      <c r="O58" s="3">
        <v>1</v>
      </c>
      <c r="P58" s="3">
        <v>1</v>
      </c>
      <c r="Q58" s="3">
        <v>0</v>
      </c>
      <c r="R58" s="3">
        <v>1</v>
      </c>
      <c r="S58" s="3">
        <v>1</v>
      </c>
      <c r="T58" s="3">
        <v>1</v>
      </c>
      <c r="U58" s="3">
        <v>1</v>
      </c>
      <c r="V58" s="39">
        <f t="shared" si="74"/>
        <v>6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9">
        <f t="shared" si="75"/>
        <v>7</v>
      </c>
      <c r="AE58" s="3">
        <v>1</v>
      </c>
      <c r="AF58" s="3">
        <v>1</v>
      </c>
      <c r="AG58" s="3">
        <v>1</v>
      </c>
      <c r="AH58" s="3">
        <v>1</v>
      </c>
      <c r="AI58" s="3">
        <v>0</v>
      </c>
      <c r="AJ58" s="3">
        <v>1</v>
      </c>
      <c r="AK58" s="3">
        <v>1</v>
      </c>
      <c r="AL58" s="3">
        <v>1</v>
      </c>
      <c r="AM58" s="43">
        <f t="shared" si="73"/>
        <v>7</v>
      </c>
      <c r="AN58" s="3">
        <v>1</v>
      </c>
      <c r="AO58" s="3">
        <v>1</v>
      </c>
      <c r="AP58" s="3">
        <v>0</v>
      </c>
      <c r="AQ58" s="3">
        <v>1</v>
      </c>
      <c r="AR58" s="3">
        <v>0</v>
      </c>
      <c r="AS58" s="3">
        <v>1</v>
      </c>
      <c r="AT58" s="3">
        <v>0</v>
      </c>
      <c r="AU58" s="3">
        <v>0</v>
      </c>
      <c r="AV58" s="3">
        <v>1</v>
      </c>
      <c r="AW58" s="43">
        <f t="shared" si="69"/>
        <v>5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43">
        <f t="shared" si="70"/>
        <v>7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43">
        <f t="shared" si="71"/>
        <v>8</v>
      </c>
      <c r="BQ58" s="22">
        <f t="shared" si="7"/>
        <v>47</v>
      </c>
      <c r="BR58" s="22">
        <f t="shared" si="8"/>
        <v>83.928571428571431</v>
      </c>
    </row>
    <row r="59" spans="1:70" ht="18" x14ac:dyDescent="0.35">
      <c r="A59" s="2">
        <v>54</v>
      </c>
      <c r="B59" s="16" t="s">
        <v>142</v>
      </c>
      <c r="C59" s="20" t="s">
        <v>143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9">
        <f t="shared" si="72"/>
        <v>10</v>
      </c>
      <c r="O59" s="3">
        <v>1</v>
      </c>
      <c r="P59" s="3">
        <v>1</v>
      </c>
      <c r="Q59" s="3">
        <v>1</v>
      </c>
      <c r="R59" s="3">
        <v>1</v>
      </c>
      <c r="S59" s="3">
        <v>0</v>
      </c>
      <c r="T59" s="3">
        <v>0</v>
      </c>
      <c r="U59" s="3">
        <v>1</v>
      </c>
      <c r="V59" s="39">
        <f t="shared" si="74"/>
        <v>5</v>
      </c>
      <c r="W59" s="3">
        <v>1</v>
      </c>
      <c r="X59" s="3">
        <v>1</v>
      </c>
      <c r="Y59" s="3">
        <v>1</v>
      </c>
      <c r="Z59" s="3">
        <v>1</v>
      </c>
      <c r="AA59" s="3">
        <v>0</v>
      </c>
      <c r="AB59" s="3">
        <v>1</v>
      </c>
      <c r="AC59" s="3">
        <v>1</v>
      </c>
      <c r="AD59" s="39">
        <f t="shared" si="75"/>
        <v>6</v>
      </c>
      <c r="AE59" s="3">
        <v>1</v>
      </c>
      <c r="AF59" s="3">
        <v>0</v>
      </c>
      <c r="AG59" s="3">
        <v>1</v>
      </c>
      <c r="AH59" s="3">
        <v>1</v>
      </c>
      <c r="AI59" s="3">
        <v>1</v>
      </c>
      <c r="AJ59" s="3">
        <v>1</v>
      </c>
      <c r="AK59" s="3">
        <v>1</v>
      </c>
      <c r="AL59" s="3">
        <v>1</v>
      </c>
      <c r="AM59" s="43">
        <f t="shared" si="73"/>
        <v>7</v>
      </c>
      <c r="AN59" s="3">
        <v>0</v>
      </c>
      <c r="AO59" s="3">
        <v>1</v>
      </c>
      <c r="AP59" s="3">
        <v>0</v>
      </c>
      <c r="AQ59" s="3">
        <v>1</v>
      </c>
      <c r="AR59" s="3">
        <v>0</v>
      </c>
      <c r="AS59" s="3">
        <v>0</v>
      </c>
      <c r="AT59" s="3">
        <v>1</v>
      </c>
      <c r="AU59" s="3">
        <v>1</v>
      </c>
      <c r="AV59" s="3">
        <v>1</v>
      </c>
      <c r="AW59" s="43">
        <f t="shared" si="69"/>
        <v>5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 s="3">
        <v>1</v>
      </c>
      <c r="BD59" s="3">
        <v>1</v>
      </c>
      <c r="BE59" s="43">
        <f t="shared" si="70"/>
        <v>7</v>
      </c>
      <c r="BF59" s="3">
        <v>1</v>
      </c>
      <c r="BG59" s="3">
        <v>1</v>
      </c>
      <c r="BH59" s="3">
        <v>1</v>
      </c>
      <c r="BI59" s="3">
        <v>1</v>
      </c>
      <c r="BJ59" s="3">
        <v>1</v>
      </c>
      <c r="BK59" s="3">
        <v>1</v>
      </c>
      <c r="BL59" s="3">
        <v>1</v>
      </c>
      <c r="BM59" s="3">
        <v>1</v>
      </c>
      <c r="BN59" s="43">
        <f t="shared" si="71"/>
        <v>8</v>
      </c>
      <c r="BQ59" s="22">
        <f t="shared" si="7"/>
        <v>48</v>
      </c>
      <c r="BR59" s="22">
        <f t="shared" si="8"/>
        <v>85.714285714285708</v>
      </c>
    </row>
    <row r="60" spans="1:70" ht="18" x14ac:dyDescent="0.35">
      <c r="A60" s="2">
        <v>55</v>
      </c>
      <c r="B60" s="16" t="s">
        <v>144</v>
      </c>
      <c r="C60" s="20" t="s">
        <v>145</v>
      </c>
      <c r="D60" s="3">
        <v>0</v>
      </c>
      <c r="E60" s="3">
        <v>1</v>
      </c>
      <c r="F60" s="3">
        <v>1</v>
      </c>
      <c r="G60" s="3">
        <v>0</v>
      </c>
      <c r="H60" s="3">
        <v>1</v>
      </c>
      <c r="I60" s="3">
        <v>1</v>
      </c>
      <c r="J60" s="3">
        <v>1</v>
      </c>
      <c r="K60" s="3">
        <v>0</v>
      </c>
      <c r="L60" s="3">
        <v>1</v>
      </c>
      <c r="M60" s="3">
        <v>1</v>
      </c>
      <c r="N60" s="39">
        <f t="shared" si="72"/>
        <v>7</v>
      </c>
      <c r="O60" s="3">
        <v>1</v>
      </c>
      <c r="P60" s="3">
        <v>0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9">
        <f t="shared" si="74"/>
        <v>6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9">
        <f t="shared" si="75"/>
        <v>7</v>
      </c>
      <c r="AE60" s="3">
        <v>1</v>
      </c>
      <c r="AF60" s="3">
        <v>0</v>
      </c>
      <c r="AG60" s="3">
        <v>1</v>
      </c>
      <c r="AH60" s="3">
        <v>1</v>
      </c>
      <c r="AI60" s="3">
        <v>0</v>
      </c>
      <c r="AJ60" s="3">
        <v>1</v>
      </c>
      <c r="AK60" s="3">
        <v>1</v>
      </c>
      <c r="AL60" s="3">
        <v>1</v>
      </c>
      <c r="AM60" s="43">
        <f t="shared" si="73"/>
        <v>6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3">
        <v>1</v>
      </c>
      <c r="AW60" s="43">
        <f t="shared" si="69"/>
        <v>9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3">
        <v>1</v>
      </c>
      <c r="BD60" s="3">
        <v>1</v>
      </c>
      <c r="BE60" s="43">
        <f t="shared" si="70"/>
        <v>7</v>
      </c>
      <c r="BF60" s="3">
        <v>1</v>
      </c>
      <c r="BG60" s="3">
        <v>1</v>
      </c>
      <c r="BH60" s="3">
        <v>1</v>
      </c>
      <c r="BI60" s="3">
        <v>1</v>
      </c>
      <c r="BJ60" s="3">
        <v>1</v>
      </c>
      <c r="BK60" s="3">
        <v>1</v>
      </c>
      <c r="BL60" s="3">
        <v>1</v>
      </c>
      <c r="BM60" s="3">
        <v>1</v>
      </c>
      <c r="BN60" s="43">
        <f t="shared" si="71"/>
        <v>8</v>
      </c>
      <c r="BQ60" s="22">
        <f t="shared" si="7"/>
        <v>50</v>
      </c>
      <c r="BR60" s="22">
        <f t="shared" si="8"/>
        <v>89.285714285714292</v>
      </c>
    </row>
    <row r="61" spans="1:70" ht="18" x14ac:dyDescent="0.35">
      <c r="A61" s="2">
        <v>56</v>
      </c>
      <c r="B61" s="16" t="s">
        <v>146</v>
      </c>
      <c r="C61" s="20" t="s">
        <v>147</v>
      </c>
      <c r="D61" s="3">
        <v>0</v>
      </c>
      <c r="E61" s="3">
        <v>1</v>
      </c>
      <c r="F61" s="3">
        <v>1</v>
      </c>
      <c r="G61" s="3">
        <v>0</v>
      </c>
      <c r="H61" s="3">
        <v>1</v>
      </c>
      <c r="I61" s="3">
        <v>1</v>
      </c>
      <c r="J61" s="3">
        <v>1</v>
      </c>
      <c r="K61" s="3">
        <v>0</v>
      </c>
      <c r="L61" s="3">
        <v>1</v>
      </c>
      <c r="M61" s="3">
        <v>1</v>
      </c>
      <c r="N61" s="39">
        <f t="shared" si="72"/>
        <v>7</v>
      </c>
      <c r="O61" s="3">
        <v>1</v>
      </c>
      <c r="P61" s="3">
        <v>1</v>
      </c>
      <c r="Q61" s="3">
        <v>0</v>
      </c>
      <c r="R61" s="3">
        <v>1</v>
      </c>
      <c r="S61" s="3">
        <v>1</v>
      </c>
      <c r="T61" s="3">
        <v>1</v>
      </c>
      <c r="U61" s="3">
        <v>1</v>
      </c>
      <c r="V61" s="39">
        <f t="shared" si="74"/>
        <v>6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">
        <v>1</v>
      </c>
      <c r="AD61" s="39">
        <f t="shared" si="75"/>
        <v>7</v>
      </c>
      <c r="AE61" s="3">
        <v>1</v>
      </c>
      <c r="AF61" s="3">
        <v>1</v>
      </c>
      <c r="AG61" s="3">
        <v>1</v>
      </c>
      <c r="AH61" s="3">
        <v>1</v>
      </c>
      <c r="AI61" s="3">
        <v>0</v>
      </c>
      <c r="AJ61" s="3">
        <v>1</v>
      </c>
      <c r="AK61" s="3">
        <v>1</v>
      </c>
      <c r="AL61" s="3">
        <v>1</v>
      </c>
      <c r="AM61" s="43">
        <f t="shared" si="73"/>
        <v>7</v>
      </c>
      <c r="AN61" s="3">
        <v>1</v>
      </c>
      <c r="AO61" s="3">
        <v>1</v>
      </c>
      <c r="AP61" s="3">
        <v>0</v>
      </c>
      <c r="AQ61" s="3">
        <v>1</v>
      </c>
      <c r="AR61" s="3">
        <v>0</v>
      </c>
      <c r="AS61" s="3">
        <v>1</v>
      </c>
      <c r="AT61" s="3">
        <v>0</v>
      </c>
      <c r="AU61" s="3">
        <v>0</v>
      </c>
      <c r="AV61" s="3">
        <v>1</v>
      </c>
      <c r="AW61" s="43">
        <f t="shared" si="69"/>
        <v>5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 s="3">
        <v>1</v>
      </c>
      <c r="BD61" s="3">
        <v>1</v>
      </c>
      <c r="BE61" s="43">
        <f t="shared" si="70"/>
        <v>7</v>
      </c>
      <c r="BF61" s="3">
        <v>0</v>
      </c>
      <c r="BG61" s="3">
        <v>1</v>
      </c>
      <c r="BH61" s="3">
        <v>0</v>
      </c>
      <c r="BI61" s="3">
        <v>1</v>
      </c>
      <c r="BJ61" s="3">
        <v>0</v>
      </c>
      <c r="BK61" s="3">
        <v>1</v>
      </c>
      <c r="BL61" s="3">
        <v>1</v>
      </c>
      <c r="BM61" s="3">
        <v>1</v>
      </c>
      <c r="BN61" s="43">
        <f t="shared" si="71"/>
        <v>5</v>
      </c>
      <c r="BQ61" s="22">
        <f t="shared" si="7"/>
        <v>44</v>
      </c>
      <c r="BR61" s="22">
        <f t="shared" si="8"/>
        <v>78.571428571428569</v>
      </c>
    </row>
    <row r="62" spans="1:70" ht="18" x14ac:dyDescent="0.35">
      <c r="A62" s="2">
        <v>57</v>
      </c>
      <c r="B62" s="16" t="s">
        <v>148</v>
      </c>
      <c r="C62" s="20" t="s">
        <v>149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9">
        <f t="shared" si="72"/>
        <v>10</v>
      </c>
      <c r="O62" s="3">
        <v>1</v>
      </c>
      <c r="P62" s="3">
        <v>1</v>
      </c>
      <c r="Q62" s="3">
        <v>1</v>
      </c>
      <c r="R62" s="3">
        <v>1</v>
      </c>
      <c r="S62" s="3">
        <v>0</v>
      </c>
      <c r="T62" s="3">
        <v>1</v>
      </c>
      <c r="U62" s="3">
        <v>1</v>
      </c>
      <c r="V62" s="39">
        <f t="shared" si="74"/>
        <v>6</v>
      </c>
      <c r="W62" s="3">
        <v>1</v>
      </c>
      <c r="X62" s="3">
        <v>1</v>
      </c>
      <c r="Y62" s="3">
        <v>0</v>
      </c>
      <c r="Z62" s="3">
        <v>1</v>
      </c>
      <c r="AA62" s="3">
        <v>1</v>
      </c>
      <c r="AB62" s="3">
        <v>1</v>
      </c>
      <c r="AC62" s="3">
        <v>1</v>
      </c>
      <c r="AD62" s="39">
        <f t="shared" si="75"/>
        <v>6</v>
      </c>
      <c r="AE62" s="3">
        <v>1</v>
      </c>
      <c r="AF62" s="3">
        <v>1</v>
      </c>
      <c r="AG62" s="3">
        <v>1</v>
      </c>
      <c r="AH62" s="3">
        <v>0</v>
      </c>
      <c r="AI62" s="3">
        <v>1</v>
      </c>
      <c r="AJ62" s="3">
        <v>1</v>
      </c>
      <c r="AK62" s="3">
        <v>1</v>
      </c>
      <c r="AL62" s="3">
        <v>1</v>
      </c>
      <c r="AM62" s="43">
        <f t="shared" si="73"/>
        <v>7</v>
      </c>
      <c r="AN62" s="3">
        <v>1</v>
      </c>
      <c r="AO62" s="3">
        <v>1</v>
      </c>
      <c r="AP62" s="3">
        <v>1</v>
      </c>
      <c r="AQ62" s="3">
        <v>0</v>
      </c>
      <c r="AR62" s="3">
        <v>1</v>
      </c>
      <c r="AS62" s="3">
        <v>0</v>
      </c>
      <c r="AT62" s="3">
        <v>1</v>
      </c>
      <c r="AU62" s="3">
        <v>0</v>
      </c>
      <c r="AV62" s="3">
        <v>0</v>
      </c>
      <c r="AW62" s="43">
        <f t="shared" si="69"/>
        <v>5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3">
        <v>1</v>
      </c>
      <c r="BD62" s="3">
        <v>1</v>
      </c>
      <c r="BE62" s="43">
        <f t="shared" si="70"/>
        <v>7</v>
      </c>
      <c r="BF62" s="3">
        <v>1</v>
      </c>
      <c r="BG62" s="3">
        <v>1</v>
      </c>
      <c r="BH62" s="3">
        <v>1</v>
      </c>
      <c r="BI62" s="3">
        <v>1</v>
      </c>
      <c r="BJ62" s="3">
        <v>1</v>
      </c>
      <c r="BK62" s="3">
        <v>1</v>
      </c>
      <c r="BL62" s="3">
        <v>1</v>
      </c>
      <c r="BM62" s="3">
        <v>1</v>
      </c>
      <c r="BN62" s="43">
        <f t="shared" si="71"/>
        <v>8</v>
      </c>
      <c r="BQ62" s="22">
        <f t="shared" si="7"/>
        <v>49</v>
      </c>
      <c r="BR62" s="22">
        <f t="shared" si="8"/>
        <v>87.5</v>
      </c>
    </row>
    <row r="63" spans="1:70" ht="18" x14ac:dyDescent="0.35">
      <c r="A63" s="2">
        <v>58</v>
      </c>
      <c r="B63" s="16" t="s">
        <v>150</v>
      </c>
      <c r="C63" s="20" t="s">
        <v>151</v>
      </c>
      <c r="D63" s="3">
        <v>0</v>
      </c>
      <c r="E63" s="3">
        <v>1</v>
      </c>
      <c r="F63" s="3">
        <v>1</v>
      </c>
      <c r="G63" s="3">
        <v>0</v>
      </c>
      <c r="H63" s="3">
        <v>1</v>
      </c>
      <c r="I63" s="3">
        <v>1</v>
      </c>
      <c r="J63" s="3">
        <v>1</v>
      </c>
      <c r="K63" s="3">
        <v>0</v>
      </c>
      <c r="L63" s="3">
        <v>1</v>
      </c>
      <c r="M63" s="3">
        <v>1</v>
      </c>
      <c r="N63" s="39">
        <f t="shared" si="72"/>
        <v>7</v>
      </c>
      <c r="O63" s="3">
        <v>1</v>
      </c>
      <c r="P63" s="3">
        <v>0</v>
      </c>
      <c r="Q63" s="3">
        <v>1</v>
      </c>
      <c r="R63" s="3">
        <v>1</v>
      </c>
      <c r="S63" s="3">
        <v>1</v>
      </c>
      <c r="T63" s="3">
        <v>1</v>
      </c>
      <c r="U63" s="3">
        <v>1</v>
      </c>
      <c r="V63" s="39">
        <f t="shared" si="74"/>
        <v>6</v>
      </c>
      <c r="W63" s="3">
        <v>1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  <c r="AC63" s="3">
        <v>1</v>
      </c>
      <c r="AD63" s="39">
        <f t="shared" si="75"/>
        <v>7</v>
      </c>
      <c r="AE63" s="3">
        <v>1</v>
      </c>
      <c r="AF63" s="3">
        <v>0</v>
      </c>
      <c r="AG63" s="3">
        <v>1</v>
      </c>
      <c r="AH63" s="3">
        <v>1</v>
      </c>
      <c r="AI63" s="3">
        <v>0</v>
      </c>
      <c r="AJ63" s="3">
        <v>1</v>
      </c>
      <c r="AK63" s="3">
        <v>1</v>
      </c>
      <c r="AL63" s="3">
        <v>1</v>
      </c>
      <c r="AM63" s="43">
        <f t="shared" si="73"/>
        <v>6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3">
        <v>1</v>
      </c>
      <c r="AT63" s="3">
        <v>1</v>
      </c>
      <c r="AU63" s="3">
        <v>1</v>
      </c>
      <c r="AV63" s="3">
        <v>1</v>
      </c>
      <c r="AW63" s="43">
        <f t="shared" si="69"/>
        <v>9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3">
        <v>1</v>
      </c>
      <c r="BD63" s="3">
        <v>1</v>
      </c>
      <c r="BE63" s="43">
        <f t="shared" si="70"/>
        <v>7</v>
      </c>
      <c r="BF63" s="3">
        <v>1</v>
      </c>
      <c r="BG63" s="3">
        <v>1</v>
      </c>
      <c r="BH63" s="3">
        <v>1</v>
      </c>
      <c r="BI63" s="3">
        <v>1</v>
      </c>
      <c r="BJ63" s="3">
        <v>1</v>
      </c>
      <c r="BK63" s="3">
        <v>1</v>
      </c>
      <c r="BL63" s="3">
        <v>1</v>
      </c>
      <c r="BM63" s="3">
        <v>1</v>
      </c>
      <c r="BN63" s="43">
        <f t="shared" si="71"/>
        <v>8</v>
      </c>
      <c r="BQ63" s="22">
        <f t="shared" si="7"/>
        <v>50</v>
      </c>
      <c r="BR63" s="22">
        <f t="shared" si="8"/>
        <v>89.285714285714292</v>
      </c>
    </row>
    <row r="64" spans="1:70" ht="18" x14ac:dyDescent="0.35">
      <c r="A64" s="2">
        <v>59</v>
      </c>
      <c r="B64" s="16" t="s">
        <v>152</v>
      </c>
      <c r="C64" s="20" t="s">
        <v>153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9">
        <f t="shared" si="72"/>
        <v>10</v>
      </c>
      <c r="O64" s="3">
        <v>1</v>
      </c>
      <c r="P64" s="3">
        <v>1</v>
      </c>
      <c r="Q64" s="3">
        <v>1</v>
      </c>
      <c r="R64" s="3">
        <v>1</v>
      </c>
      <c r="S64" s="3">
        <v>0</v>
      </c>
      <c r="T64" s="3">
        <v>0</v>
      </c>
      <c r="U64" s="3">
        <v>1</v>
      </c>
      <c r="V64" s="39">
        <f t="shared" si="74"/>
        <v>5</v>
      </c>
      <c r="W64" s="3">
        <v>1</v>
      </c>
      <c r="X64" s="3">
        <v>1</v>
      </c>
      <c r="Y64" s="3">
        <v>1</v>
      </c>
      <c r="Z64" s="3">
        <v>1</v>
      </c>
      <c r="AA64" s="3">
        <v>0</v>
      </c>
      <c r="AB64" s="3">
        <v>1</v>
      </c>
      <c r="AC64" s="3">
        <v>1</v>
      </c>
      <c r="AD64" s="39">
        <f t="shared" si="75"/>
        <v>6</v>
      </c>
      <c r="AE64" s="3">
        <v>1</v>
      </c>
      <c r="AF64" s="3">
        <v>0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3">
        <v>1</v>
      </c>
      <c r="AM64" s="43">
        <f t="shared" si="73"/>
        <v>7</v>
      </c>
      <c r="AN64" s="3">
        <v>0</v>
      </c>
      <c r="AO64" s="3">
        <v>1</v>
      </c>
      <c r="AP64" s="3">
        <v>0</v>
      </c>
      <c r="AQ64" s="3">
        <v>1</v>
      </c>
      <c r="AR64" s="3">
        <v>0</v>
      </c>
      <c r="AS64" s="3">
        <v>0</v>
      </c>
      <c r="AT64" s="3">
        <v>1</v>
      </c>
      <c r="AU64" s="3">
        <v>1</v>
      </c>
      <c r="AV64" s="3">
        <v>1</v>
      </c>
      <c r="AW64" s="43">
        <f t="shared" si="69"/>
        <v>5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3">
        <v>1</v>
      </c>
      <c r="BD64" s="3">
        <v>1</v>
      </c>
      <c r="BE64" s="43">
        <f t="shared" si="70"/>
        <v>7</v>
      </c>
      <c r="BF64" s="3">
        <v>1</v>
      </c>
      <c r="BG64" s="3">
        <v>1</v>
      </c>
      <c r="BH64" s="3">
        <v>1</v>
      </c>
      <c r="BI64" s="3">
        <v>1</v>
      </c>
      <c r="BJ64" s="3">
        <v>1</v>
      </c>
      <c r="BK64" s="3">
        <v>1</v>
      </c>
      <c r="BL64" s="3">
        <v>1</v>
      </c>
      <c r="BM64" s="3">
        <v>1</v>
      </c>
      <c r="BN64" s="43">
        <f t="shared" si="71"/>
        <v>8</v>
      </c>
      <c r="BQ64" s="22">
        <f t="shared" si="7"/>
        <v>48</v>
      </c>
      <c r="BR64" s="22">
        <f t="shared" si="8"/>
        <v>85.714285714285708</v>
      </c>
    </row>
    <row r="65" spans="1:70" ht="18" x14ac:dyDescent="0.35">
      <c r="A65" s="2">
        <v>60</v>
      </c>
      <c r="B65" s="16" t="s">
        <v>154</v>
      </c>
      <c r="C65" s="20" t="s">
        <v>155</v>
      </c>
      <c r="D65" s="3">
        <v>0</v>
      </c>
      <c r="E65" s="3">
        <v>1</v>
      </c>
      <c r="F65" s="3">
        <v>1</v>
      </c>
      <c r="G65" s="3">
        <v>0</v>
      </c>
      <c r="H65" s="3">
        <v>1</v>
      </c>
      <c r="I65" s="3">
        <v>1</v>
      </c>
      <c r="J65" s="3">
        <v>1</v>
      </c>
      <c r="K65" s="3">
        <v>0</v>
      </c>
      <c r="L65" s="3">
        <v>1</v>
      </c>
      <c r="M65" s="3">
        <v>1</v>
      </c>
      <c r="N65" s="39">
        <f t="shared" si="72"/>
        <v>7</v>
      </c>
      <c r="O65" s="3">
        <v>1</v>
      </c>
      <c r="P65" s="3">
        <v>1</v>
      </c>
      <c r="Q65" s="3">
        <v>0</v>
      </c>
      <c r="R65" s="3">
        <v>1</v>
      </c>
      <c r="S65" s="3">
        <v>1</v>
      </c>
      <c r="T65" s="3">
        <v>1</v>
      </c>
      <c r="U65" s="3">
        <v>1</v>
      </c>
      <c r="V65" s="39">
        <f t="shared" si="74"/>
        <v>6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1</v>
      </c>
      <c r="AC65" s="3">
        <v>1</v>
      </c>
      <c r="AD65" s="39">
        <f t="shared" si="75"/>
        <v>7</v>
      </c>
      <c r="AE65" s="3">
        <v>1</v>
      </c>
      <c r="AF65" s="3">
        <v>1</v>
      </c>
      <c r="AG65" s="3">
        <v>1</v>
      </c>
      <c r="AH65" s="3">
        <v>1</v>
      </c>
      <c r="AI65" s="3">
        <v>0</v>
      </c>
      <c r="AJ65" s="3">
        <v>1</v>
      </c>
      <c r="AK65" s="3">
        <v>1</v>
      </c>
      <c r="AL65" s="3">
        <v>1</v>
      </c>
      <c r="AM65" s="43">
        <f t="shared" si="73"/>
        <v>7</v>
      </c>
      <c r="AN65" s="3">
        <v>1</v>
      </c>
      <c r="AO65" s="3">
        <v>1</v>
      </c>
      <c r="AP65" s="3">
        <v>0</v>
      </c>
      <c r="AQ65" s="3">
        <v>1</v>
      </c>
      <c r="AR65" s="3">
        <v>0</v>
      </c>
      <c r="AS65" s="3">
        <v>1</v>
      </c>
      <c r="AT65" s="3">
        <v>0</v>
      </c>
      <c r="AU65" s="3">
        <v>0</v>
      </c>
      <c r="AV65" s="3">
        <v>1</v>
      </c>
      <c r="AW65" s="43">
        <f t="shared" si="69"/>
        <v>5</v>
      </c>
      <c r="AX65" s="3">
        <v>0</v>
      </c>
      <c r="AY65" s="3">
        <v>1</v>
      </c>
      <c r="AZ65" s="3">
        <v>0</v>
      </c>
      <c r="BA65" s="3">
        <v>1</v>
      </c>
      <c r="BB65" s="3">
        <v>0</v>
      </c>
      <c r="BC65" s="3">
        <v>1</v>
      </c>
      <c r="BD65" s="3">
        <v>1</v>
      </c>
      <c r="BE65" s="43">
        <f t="shared" si="70"/>
        <v>4</v>
      </c>
      <c r="BF65" s="3">
        <v>1</v>
      </c>
      <c r="BG65" s="3">
        <v>1</v>
      </c>
      <c r="BH65" s="3">
        <v>1</v>
      </c>
      <c r="BI65" s="3">
        <v>1</v>
      </c>
      <c r="BJ65" s="3">
        <v>1</v>
      </c>
      <c r="BK65" s="3">
        <v>1</v>
      </c>
      <c r="BL65" s="3">
        <v>1</v>
      </c>
      <c r="BM65" s="3">
        <v>1</v>
      </c>
      <c r="BN65" s="43">
        <f t="shared" si="71"/>
        <v>8</v>
      </c>
      <c r="BQ65" s="22">
        <f t="shared" si="7"/>
        <v>44</v>
      </c>
      <c r="BR65" s="22">
        <f t="shared" si="8"/>
        <v>78.571428571428569</v>
      </c>
    </row>
    <row r="66" spans="1:70" ht="18" x14ac:dyDescent="0.35">
      <c r="A66" s="2">
        <v>61</v>
      </c>
      <c r="B66" s="16" t="s">
        <v>156</v>
      </c>
      <c r="C66" s="20" t="s">
        <v>157</v>
      </c>
      <c r="D66" s="3">
        <v>0</v>
      </c>
      <c r="E66" s="3">
        <v>1</v>
      </c>
      <c r="F66" s="3">
        <v>1</v>
      </c>
      <c r="G66" s="3">
        <v>0</v>
      </c>
      <c r="H66" s="3">
        <v>1</v>
      </c>
      <c r="I66" s="3">
        <v>1</v>
      </c>
      <c r="J66" s="3">
        <v>1</v>
      </c>
      <c r="K66" s="3">
        <v>0</v>
      </c>
      <c r="L66" s="3">
        <v>1</v>
      </c>
      <c r="M66" s="3">
        <v>1</v>
      </c>
      <c r="N66" s="39">
        <f t="shared" si="72"/>
        <v>7</v>
      </c>
      <c r="O66" s="3">
        <v>1</v>
      </c>
      <c r="P66" s="3">
        <v>0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9">
        <f t="shared" si="74"/>
        <v>6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9">
        <f t="shared" si="75"/>
        <v>7</v>
      </c>
      <c r="AE66" s="3">
        <v>1</v>
      </c>
      <c r="AF66" s="3">
        <v>0</v>
      </c>
      <c r="AG66" s="3">
        <v>1</v>
      </c>
      <c r="AH66" s="3">
        <v>1</v>
      </c>
      <c r="AI66" s="3">
        <v>0</v>
      </c>
      <c r="AJ66" s="3">
        <v>1</v>
      </c>
      <c r="AK66" s="3">
        <v>1</v>
      </c>
      <c r="AL66" s="3">
        <v>1</v>
      </c>
      <c r="AM66" s="43">
        <f t="shared" si="73"/>
        <v>6</v>
      </c>
      <c r="AN66" s="3">
        <v>1</v>
      </c>
      <c r="AO66" s="3">
        <v>1</v>
      </c>
      <c r="AP66" s="3">
        <v>1</v>
      </c>
      <c r="AQ66" s="3">
        <v>1</v>
      </c>
      <c r="AR66" s="3">
        <v>1</v>
      </c>
      <c r="AS66" s="3">
        <v>1</v>
      </c>
      <c r="AT66" s="3">
        <v>1</v>
      </c>
      <c r="AU66" s="3">
        <v>1</v>
      </c>
      <c r="AV66" s="3">
        <v>1</v>
      </c>
      <c r="AW66" s="43">
        <f t="shared" si="69"/>
        <v>9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3">
        <v>1</v>
      </c>
      <c r="BD66" s="3">
        <v>1</v>
      </c>
      <c r="BE66" s="43">
        <f t="shared" si="70"/>
        <v>7</v>
      </c>
      <c r="BF66" s="3">
        <v>1</v>
      </c>
      <c r="BG66" s="3">
        <v>1</v>
      </c>
      <c r="BH66" s="3">
        <v>1</v>
      </c>
      <c r="BI66" s="3">
        <v>1</v>
      </c>
      <c r="BJ66" s="3">
        <v>1</v>
      </c>
      <c r="BK66" s="3">
        <v>1</v>
      </c>
      <c r="BL66" s="3">
        <v>1</v>
      </c>
      <c r="BM66" s="3">
        <v>1</v>
      </c>
      <c r="BN66" s="43">
        <f t="shared" si="71"/>
        <v>8</v>
      </c>
      <c r="BQ66" s="22">
        <f t="shared" si="7"/>
        <v>50</v>
      </c>
      <c r="BR66" s="22">
        <f t="shared" si="8"/>
        <v>89.285714285714292</v>
      </c>
    </row>
    <row r="67" spans="1:70" ht="18" x14ac:dyDescent="0.35">
      <c r="A67" s="2">
        <v>62</v>
      </c>
      <c r="B67" s="16" t="s">
        <v>158</v>
      </c>
      <c r="C67" s="20" t="s">
        <v>159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9">
        <f t="shared" si="72"/>
        <v>10</v>
      </c>
      <c r="O67" s="3">
        <v>1</v>
      </c>
      <c r="P67" s="3">
        <v>1</v>
      </c>
      <c r="Q67" s="3">
        <v>1</v>
      </c>
      <c r="R67" s="3">
        <v>1</v>
      </c>
      <c r="S67" s="3">
        <v>0</v>
      </c>
      <c r="T67" s="3">
        <v>0</v>
      </c>
      <c r="U67" s="3">
        <v>1</v>
      </c>
      <c r="V67" s="39">
        <f t="shared" si="74"/>
        <v>5</v>
      </c>
      <c r="W67" s="3">
        <v>1</v>
      </c>
      <c r="X67" s="3">
        <v>1</v>
      </c>
      <c r="Y67" s="3">
        <v>1</v>
      </c>
      <c r="Z67" s="3">
        <v>1</v>
      </c>
      <c r="AA67" s="3">
        <v>0</v>
      </c>
      <c r="AB67" s="3">
        <v>1</v>
      </c>
      <c r="AC67" s="3">
        <v>1</v>
      </c>
      <c r="AD67" s="39">
        <f t="shared" si="75"/>
        <v>6</v>
      </c>
      <c r="AE67" s="3">
        <v>1</v>
      </c>
      <c r="AF67" s="3">
        <v>0</v>
      </c>
      <c r="AG67" s="3">
        <v>1</v>
      </c>
      <c r="AH67" s="3">
        <v>1</v>
      </c>
      <c r="AI67" s="3">
        <v>1</v>
      </c>
      <c r="AJ67" s="3">
        <v>1</v>
      </c>
      <c r="AK67" s="3">
        <v>1</v>
      </c>
      <c r="AL67" s="3">
        <v>1</v>
      </c>
      <c r="AM67" s="43">
        <f t="shared" si="73"/>
        <v>7</v>
      </c>
      <c r="AN67" s="3">
        <v>0</v>
      </c>
      <c r="AO67" s="3">
        <v>1</v>
      </c>
      <c r="AP67" s="3">
        <v>0</v>
      </c>
      <c r="AQ67" s="3">
        <v>1</v>
      </c>
      <c r="AR67" s="3">
        <v>0</v>
      </c>
      <c r="AS67" s="3">
        <v>0</v>
      </c>
      <c r="AT67" s="3">
        <v>1</v>
      </c>
      <c r="AU67" s="3">
        <v>1</v>
      </c>
      <c r="AV67" s="3">
        <v>1</v>
      </c>
      <c r="AW67" s="43">
        <f t="shared" si="69"/>
        <v>5</v>
      </c>
      <c r="AX67" s="3">
        <v>1</v>
      </c>
      <c r="AY67" s="3">
        <v>1</v>
      </c>
      <c r="AZ67" s="3">
        <v>1</v>
      </c>
      <c r="BA67" s="3">
        <v>1</v>
      </c>
      <c r="BB67" s="3">
        <v>1</v>
      </c>
      <c r="BC67" s="3">
        <v>1</v>
      </c>
      <c r="BD67" s="3">
        <v>1</v>
      </c>
      <c r="BE67" s="43">
        <f t="shared" si="70"/>
        <v>7</v>
      </c>
      <c r="BF67" s="3">
        <v>1</v>
      </c>
      <c r="BG67" s="3">
        <v>1</v>
      </c>
      <c r="BH67" s="3">
        <v>1</v>
      </c>
      <c r="BI67" s="3">
        <v>1</v>
      </c>
      <c r="BJ67" s="3">
        <v>1</v>
      </c>
      <c r="BK67" s="3">
        <v>1</v>
      </c>
      <c r="BL67" s="3">
        <v>1</v>
      </c>
      <c r="BM67" s="3">
        <v>1</v>
      </c>
      <c r="BN67" s="43">
        <f t="shared" si="71"/>
        <v>8</v>
      </c>
      <c r="BQ67" s="22">
        <f t="shared" si="7"/>
        <v>48</v>
      </c>
      <c r="BR67" s="22">
        <f t="shared" si="8"/>
        <v>85.714285714285708</v>
      </c>
    </row>
    <row r="68" spans="1:70" ht="18" x14ac:dyDescent="0.35">
      <c r="A68" s="2">
        <v>63</v>
      </c>
      <c r="B68" s="16" t="s">
        <v>160</v>
      </c>
      <c r="C68" s="20" t="s">
        <v>161</v>
      </c>
      <c r="D68" s="3">
        <v>0</v>
      </c>
      <c r="E68" s="3">
        <v>1</v>
      </c>
      <c r="F68" s="3">
        <v>1</v>
      </c>
      <c r="G68" s="3">
        <v>0</v>
      </c>
      <c r="H68" s="3">
        <v>1</v>
      </c>
      <c r="I68" s="3">
        <v>1</v>
      </c>
      <c r="J68" s="3">
        <v>1</v>
      </c>
      <c r="K68" s="3">
        <v>0</v>
      </c>
      <c r="L68" s="3">
        <v>1</v>
      </c>
      <c r="M68" s="3">
        <v>1</v>
      </c>
      <c r="N68" s="39">
        <f t="shared" si="72"/>
        <v>7</v>
      </c>
      <c r="O68" s="3">
        <v>1</v>
      </c>
      <c r="P68" s="3">
        <v>1</v>
      </c>
      <c r="Q68" s="3">
        <v>0</v>
      </c>
      <c r="R68" s="3">
        <v>1</v>
      </c>
      <c r="S68" s="3">
        <v>1</v>
      </c>
      <c r="T68" s="3">
        <v>1</v>
      </c>
      <c r="U68" s="3">
        <v>1</v>
      </c>
      <c r="V68" s="39">
        <f t="shared" si="74"/>
        <v>6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1</v>
      </c>
      <c r="AD68" s="39">
        <f t="shared" si="75"/>
        <v>7</v>
      </c>
      <c r="AE68" s="3">
        <v>1</v>
      </c>
      <c r="AF68" s="3">
        <v>1</v>
      </c>
      <c r="AG68" s="3">
        <v>1</v>
      </c>
      <c r="AH68" s="3">
        <v>1</v>
      </c>
      <c r="AI68" s="3">
        <v>0</v>
      </c>
      <c r="AJ68" s="3">
        <v>1</v>
      </c>
      <c r="AK68" s="3">
        <v>1</v>
      </c>
      <c r="AL68" s="3">
        <v>1</v>
      </c>
      <c r="AM68" s="43">
        <f t="shared" si="73"/>
        <v>7</v>
      </c>
      <c r="AN68" s="3">
        <v>1</v>
      </c>
      <c r="AO68" s="3">
        <v>1</v>
      </c>
      <c r="AP68" s="3">
        <v>0</v>
      </c>
      <c r="AQ68" s="3">
        <v>1</v>
      </c>
      <c r="AR68" s="3">
        <v>0</v>
      </c>
      <c r="AS68" s="3">
        <v>1</v>
      </c>
      <c r="AT68" s="3">
        <v>0</v>
      </c>
      <c r="AU68" s="3">
        <v>0</v>
      </c>
      <c r="AV68" s="3">
        <v>1</v>
      </c>
      <c r="AW68" s="43">
        <f t="shared" si="69"/>
        <v>5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3">
        <v>1</v>
      </c>
      <c r="BD68" s="3">
        <v>1</v>
      </c>
      <c r="BE68" s="43">
        <f t="shared" si="70"/>
        <v>7</v>
      </c>
      <c r="BF68" s="3">
        <v>1</v>
      </c>
      <c r="BG68" s="3">
        <v>1</v>
      </c>
      <c r="BH68" s="3">
        <v>0</v>
      </c>
      <c r="BI68" s="3">
        <v>1</v>
      </c>
      <c r="BJ68" s="3">
        <v>1</v>
      </c>
      <c r="BK68" s="3">
        <v>1</v>
      </c>
      <c r="BL68" s="3">
        <v>0</v>
      </c>
      <c r="BM68" s="3">
        <v>1</v>
      </c>
      <c r="BN68" s="43">
        <f t="shared" si="71"/>
        <v>6</v>
      </c>
      <c r="BQ68" s="22">
        <f t="shared" si="7"/>
        <v>45</v>
      </c>
      <c r="BR68" s="22">
        <f t="shared" si="8"/>
        <v>80.357142857142861</v>
      </c>
    </row>
    <row r="69" spans="1:70" ht="18" x14ac:dyDescent="0.35">
      <c r="A69" s="2">
        <v>64</v>
      </c>
      <c r="B69" s="16" t="s">
        <v>162</v>
      </c>
      <c r="C69" s="20" t="s">
        <v>163</v>
      </c>
      <c r="D69" s="3">
        <v>0</v>
      </c>
      <c r="E69" s="3">
        <v>1</v>
      </c>
      <c r="F69" s="3">
        <v>1</v>
      </c>
      <c r="G69" s="3">
        <v>0</v>
      </c>
      <c r="H69" s="3">
        <v>1</v>
      </c>
      <c r="I69" s="3">
        <v>1</v>
      </c>
      <c r="J69" s="3">
        <v>1</v>
      </c>
      <c r="K69" s="3">
        <v>0</v>
      </c>
      <c r="L69" s="3">
        <v>1</v>
      </c>
      <c r="M69" s="3">
        <v>1</v>
      </c>
      <c r="N69" s="39">
        <f t="shared" si="72"/>
        <v>7</v>
      </c>
      <c r="O69" s="3">
        <v>1</v>
      </c>
      <c r="P69" s="3">
        <v>0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9">
        <f t="shared" si="74"/>
        <v>6</v>
      </c>
      <c r="W69" s="3">
        <v>1</v>
      </c>
      <c r="X69" s="3">
        <v>1</v>
      </c>
      <c r="Y69" s="3">
        <v>1</v>
      </c>
      <c r="Z69" s="3">
        <v>1</v>
      </c>
      <c r="AA69" s="3">
        <v>1</v>
      </c>
      <c r="AB69" s="3">
        <v>1</v>
      </c>
      <c r="AC69" s="3">
        <v>1</v>
      </c>
      <c r="AD69" s="39">
        <f t="shared" si="75"/>
        <v>7</v>
      </c>
      <c r="AE69" s="3">
        <v>1</v>
      </c>
      <c r="AF69" s="3">
        <v>0</v>
      </c>
      <c r="AG69" s="3">
        <v>1</v>
      </c>
      <c r="AH69" s="3">
        <v>1</v>
      </c>
      <c r="AI69" s="3">
        <v>0</v>
      </c>
      <c r="AJ69" s="3">
        <v>1</v>
      </c>
      <c r="AK69" s="3">
        <v>1</v>
      </c>
      <c r="AL69" s="3">
        <v>1</v>
      </c>
      <c r="AM69" s="43">
        <f t="shared" si="73"/>
        <v>6</v>
      </c>
      <c r="AN69" s="3">
        <v>1</v>
      </c>
      <c r="AO69" s="3">
        <v>1</v>
      </c>
      <c r="AP69" s="3">
        <v>1</v>
      </c>
      <c r="AQ69" s="3">
        <v>1</v>
      </c>
      <c r="AR69" s="3">
        <v>1</v>
      </c>
      <c r="AS69" s="3">
        <v>1</v>
      </c>
      <c r="AT69" s="3">
        <v>1</v>
      </c>
      <c r="AU69" s="3">
        <v>1</v>
      </c>
      <c r="AV69" s="3">
        <v>1</v>
      </c>
      <c r="AW69" s="43">
        <f t="shared" ref="AW69:AW70" si="76">SUM(AN69:AV69)</f>
        <v>9</v>
      </c>
      <c r="AX69" s="3">
        <v>1</v>
      </c>
      <c r="AY69" s="3">
        <v>1</v>
      </c>
      <c r="AZ69" s="3">
        <v>1</v>
      </c>
      <c r="BA69" s="3">
        <v>1</v>
      </c>
      <c r="BB69" s="3">
        <v>1</v>
      </c>
      <c r="BC69" s="3">
        <v>1</v>
      </c>
      <c r="BD69" s="3">
        <v>1</v>
      </c>
      <c r="BE69" s="43">
        <f t="shared" ref="BE69:BE70" si="77">SUM(AX69:BD69)</f>
        <v>7</v>
      </c>
      <c r="BF69" s="3">
        <v>1</v>
      </c>
      <c r="BG69" s="3">
        <v>1</v>
      </c>
      <c r="BH69" s="3">
        <v>1</v>
      </c>
      <c r="BI69" s="3">
        <v>1</v>
      </c>
      <c r="BJ69" s="3">
        <v>1</v>
      </c>
      <c r="BK69" s="3">
        <v>1</v>
      </c>
      <c r="BL69" s="3">
        <v>1</v>
      </c>
      <c r="BM69" s="3">
        <v>1</v>
      </c>
      <c r="BN69" s="43">
        <f t="shared" ref="BN69:BN70" si="78">SUM(BF69:BM69)</f>
        <v>8</v>
      </c>
      <c r="BQ69" s="22">
        <f t="shared" si="7"/>
        <v>50</v>
      </c>
      <c r="BR69" s="22">
        <f t="shared" si="8"/>
        <v>89.285714285714292</v>
      </c>
    </row>
    <row r="70" spans="1:70" ht="18" x14ac:dyDescent="0.35">
      <c r="A70" s="2">
        <v>65</v>
      </c>
      <c r="B70" s="17" t="s">
        <v>164</v>
      </c>
      <c r="C70" s="21" t="s">
        <v>165</v>
      </c>
      <c r="D70" s="3">
        <v>0</v>
      </c>
      <c r="E70" s="3">
        <v>1</v>
      </c>
      <c r="F70" s="3">
        <v>1</v>
      </c>
      <c r="G70" s="3">
        <v>0</v>
      </c>
      <c r="H70" s="3">
        <v>1</v>
      </c>
      <c r="I70" s="3">
        <v>1</v>
      </c>
      <c r="J70" s="3">
        <v>1</v>
      </c>
      <c r="K70" s="3">
        <v>0</v>
      </c>
      <c r="L70" s="3">
        <v>1</v>
      </c>
      <c r="M70" s="3">
        <v>1</v>
      </c>
      <c r="N70" s="39">
        <f t="shared" si="72"/>
        <v>7</v>
      </c>
      <c r="O70" s="3">
        <v>1</v>
      </c>
      <c r="P70" s="3">
        <v>0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9">
        <f t="shared" si="74"/>
        <v>6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9">
        <f t="shared" si="75"/>
        <v>7</v>
      </c>
      <c r="AE70" s="3">
        <v>1</v>
      </c>
      <c r="AF70" s="3">
        <v>0</v>
      </c>
      <c r="AG70" s="3">
        <v>1</v>
      </c>
      <c r="AH70" s="3">
        <v>1</v>
      </c>
      <c r="AI70" s="3">
        <v>0</v>
      </c>
      <c r="AJ70" s="3">
        <v>1</v>
      </c>
      <c r="AK70" s="3">
        <v>1</v>
      </c>
      <c r="AL70" s="3">
        <v>1</v>
      </c>
      <c r="AM70" s="43">
        <f t="shared" si="73"/>
        <v>6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 s="3">
        <v>1</v>
      </c>
      <c r="AT70" s="3">
        <v>1</v>
      </c>
      <c r="AU70" s="3">
        <v>1</v>
      </c>
      <c r="AV70" s="3">
        <v>1</v>
      </c>
      <c r="AW70" s="43">
        <f t="shared" si="76"/>
        <v>9</v>
      </c>
      <c r="AX70" s="3">
        <v>1</v>
      </c>
      <c r="AY70" s="3">
        <v>1</v>
      </c>
      <c r="AZ70" s="3">
        <v>1</v>
      </c>
      <c r="BA70" s="3">
        <v>1</v>
      </c>
      <c r="BB70" s="3">
        <v>1</v>
      </c>
      <c r="BC70" s="3">
        <v>1</v>
      </c>
      <c r="BD70" s="3">
        <v>1</v>
      </c>
      <c r="BE70" s="43">
        <f t="shared" si="77"/>
        <v>7</v>
      </c>
      <c r="BF70" s="3">
        <v>1</v>
      </c>
      <c r="BG70" s="3">
        <v>1</v>
      </c>
      <c r="BH70" s="3">
        <v>1</v>
      </c>
      <c r="BI70" s="3">
        <v>1</v>
      </c>
      <c r="BJ70" s="3">
        <v>1</v>
      </c>
      <c r="BK70" s="3">
        <v>1</v>
      </c>
      <c r="BL70" s="3">
        <v>1</v>
      </c>
      <c r="BM70" s="3">
        <v>1</v>
      </c>
      <c r="BN70" s="43">
        <f t="shared" si="78"/>
        <v>8</v>
      </c>
      <c r="BQ70" s="22">
        <f t="shared" si="7"/>
        <v>50</v>
      </c>
      <c r="BR70" s="22">
        <f t="shared" si="8"/>
        <v>89.285714285714292</v>
      </c>
    </row>
  </sheetData>
  <mergeCells count="17">
    <mergeCell ref="AE2:AL2"/>
    <mergeCell ref="AM2:AM3"/>
    <mergeCell ref="A3:A4"/>
    <mergeCell ref="B3:B4"/>
    <mergeCell ref="A5:B5"/>
    <mergeCell ref="D2:M2"/>
    <mergeCell ref="N2:N3"/>
    <mergeCell ref="O2:U2"/>
    <mergeCell ref="V2:V3"/>
    <mergeCell ref="W2:AC2"/>
    <mergeCell ref="AD2:AD3"/>
    <mergeCell ref="BN2:BN3"/>
    <mergeCell ref="AN2:AV2"/>
    <mergeCell ref="AW2:AW3"/>
    <mergeCell ref="AX2:BD2"/>
    <mergeCell ref="BE2:BE3"/>
    <mergeCell ref="BF2:BM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"/>
  <sheetViews>
    <sheetView topLeftCell="D1" zoomScale="80" zoomScaleNormal="80" workbookViewId="0">
      <selection activeCell="AB6" sqref="AB6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1" width="9.109375" style="15" customWidth="1"/>
    <col min="12" max="12" width="9.109375" style="15"/>
    <col min="13" max="13" width="9.109375" style="15" customWidth="1"/>
    <col min="14" max="14" width="9.109375" style="15"/>
    <col min="15" max="16" width="9.109375" style="15" customWidth="1"/>
    <col min="17" max="17" width="9.109375" style="15"/>
    <col min="18" max="18" width="9.109375" style="15" customWidth="1"/>
    <col min="19" max="19" width="9.109375" style="15"/>
    <col min="20" max="20" width="9.109375" style="15" customWidth="1"/>
    <col min="21" max="16384" width="9.109375" style="15"/>
  </cols>
  <sheetData>
    <row r="1" spans="1:25" ht="15.75" thickBot="1" x14ac:dyDescent="0.3"/>
    <row r="2" spans="1:25" ht="15.75" customHeight="1" thickBot="1" x14ac:dyDescent="0.3">
      <c r="D2" s="64" t="s">
        <v>35</v>
      </c>
      <c r="E2" s="64"/>
      <c r="F2" s="60" t="s">
        <v>16</v>
      </c>
      <c r="G2" s="63" t="s">
        <v>7</v>
      </c>
      <c r="H2" s="63"/>
      <c r="I2" s="60" t="s">
        <v>17</v>
      </c>
      <c r="J2" s="64" t="s">
        <v>7</v>
      </c>
      <c r="K2" s="64"/>
      <c r="L2" s="60" t="s">
        <v>18</v>
      </c>
      <c r="M2" s="53" t="s">
        <v>166</v>
      </c>
      <c r="N2" s="52" t="s">
        <v>19</v>
      </c>
      <c r="O2" s="53" t="s">
        <v>166</v>
      </c>
      <c r="P2" s="53"/>
      <c r="Q2" s="54" t="s">
        <v>168</v>
      </c>
      <c r="R2" s="32" t="s">
        <v>171</v>
      </c>
      <c r="S2" s="52" t="s">
        <v>169</v>
      </c>
      <c r="T2" s="50"/>
      <c r="U2" s="52" t="s">
        <v>170</v>
      </c>
    </row>
    <row r="3" spans="1:25" x14ac:dyDescent="0.25">
      <c r="A3" s="58"/>
      <c r="B3" s="59"/>
      <c r="C3" s="29"/>
      <c r="D3" s="4" t="s">
        <v>12</v>
      </c>
      <c r="E3" s="4" t="s">
        <v>12</v>
      </c>
      <c r="F3" s="61"/>
      <c r="G3" s="4" t="s">
        <v>12</v>
      </c>
      <c r="H3" s="4" t="s">
        <v>12</v>
      </c>
      <c r="I3" s="61"/>
      <c r="J3" s="4" t="s">
        <v>12</v>
      </c>
      <c r="K3" s="4" t="s">
        <v>12</v>
      </c>
      <c r="L3" s="61"/>
      <c r="M3" s="30" t="s">
        <v>5</v>
      </c>
      <c r="N3" s="52"/>
      <c r="O3" s="34" t="s">
        <v>5</v>
      </c>
      <c r="P3" s="34" t="s">
        <v>5</v>
      </c>
      <c r="Q3" s="55"/>
      <c r="R3" s="34" t="s">
        <v>5</v>
      </c>
      <c r="S3" s="52"/>
      <c r="T3" s="34" t="s">
        <v>5</v>
      </c>
      <c r="U3" s="52"/>
    </row>
    <row r="4" spans="1:25" x14ac:dyDescent="0.25">
      <c r="A4" s="58"/>
      <c r="B4" s="59"/>
      <c r="C4" s="35" t="s">
        <v>167</v>
      </c>
      <c r="D4" s="6">
        <v>19</v>
      </c>
      <c r="E4" s="6">
        <v>26</v>
      </c>
      <c r="F4" s="6"/>
      <c r="G4" s="30">
        <v>2</v>
      </c>
      <c r="H4" s="30">
        <v>9</v>
      </c>
      <c r="I4" s="30"/>
      <c r="J4" s="30">
        <v>23</v>
      </c>
      <c r="K4" s="30">
        <v>30</v>
      </c>
      <c r="L4" s="27"/>
      <c r="M4" s="30">
        <v>13</v>
      </c>
      <c r="N4" s="7"/>
      <c r="O4" s="34">
        <v>20</v>
      </c>
      <c r="P4" s="34">
        <v>27</v>
      </c>
      <c r="Q4" s="7"/>
      <c r="R4" s="34">
        <v>11</v>
      </c>
      <c r="S4" s="7"/>
      <c r="T4" s="34">
        <v>25</v>
      </c>
      <c r="U4" s="7"/>
    </row>
    <row r="5" spans="1:25" s="26" customFormat="1" ht="21" customHeight="1" x14ac:dyDescent="0.25">
      <c r="A5" s="57" t="s">
        <v>0</v>
      </c>
      <c r="B5" s="57"/>
      <c r="C5" s="28"/>
      <c r="D5" s="25">
        <v>2</v>
      </c>
      <c r="E5" s="25">
        <v>2</v>
      </c>
      <c r="F5" s="36">
        <f>SUM(D5:E5)</f>
        <v>4</v>
      </c>
      <c r="G5" s="25">
        <v>2</v>
      </c>
      <c r="H5" s="25">
        <v>2</v>
      </c>
      <c r="I5" s="36">
        <f>SUM(G5:H5)</f>
        <v>4</v>
      </c>
      <c r="J5" s="25">
        <v>2</v>
      </c>
      <c r="K5" s="25">
        <v>2</v>
      </c>
      <c r="L5" s="36">
        <f>SUM(J5:K5)</f>
        <v>4</v>
      </c>
      <c r="M5" s="25">
        <v>2</v>
      </c>
      <c r="N5" s="38">
        <f>SUM(M5:M5)</f>
        <v>2</v>
      </c>
      <c r="O5" s="25">
        <v>2</v>
      </c>
      <c r="P5" s="25">
        <v>2</v>
      </c>
      <c r="Q5" s="38">
        <f t="shared" ref="Q5:Q36" si="0">SUM(O5:P5)</f>
        <v>4</v>
      </c>
      <c r="R5" s="24">
        <v>2</v>
      </c>
      <c r="S5" s="38">
        <f t="shared" ref="S5:S36" si="1">SUM(R5:R5)</f>
        <v>2</v>
      </c>
      <c r="T5" s="24">
        <v>2</v>
      </c>
      <c r="U5" s="38">
        <f t="shared" ref="U5:U36" si="2">SUM(T5:T5)</f>
        <v>2</v>
      </c>
      <c r="X5" s="28">
        <f t="shared" ref="X5:X36" si="3">F5+I5+L5+N5+Q5+S5+U5</f>
        <v>22</v>
      </c>
      <c r="Y5" s="28"/>
    </row>
    <row r="6" spans="1:25" ht="18.75" x14ac:dyDescent="0.3">
      <c r="A6" s="2">
        <v>1</v>
      </c>
      <c r="B6" s="16" t="s">
        <v>36</v>
      </c>
      <c r="C6" s="20" t="s">
        <v>37</v>
      </c>
      <c r="D6" s="3">
        <v>2</v>
      </c>
      <c r="E6" s="3">
        <v>2</v>
      </c>
      <c r="F6" s="36">
        <f t="shared" ref="F6:F69" si="4">SUM(D6:E6)</f>
        <v>4</v>
      </c>
      <c r="G6" s="3">
        <v>0</v>
      </c>
      <c r="H6" s="3">
        <v>2</v>
      </c>
      <c r="I6" s="36">
        <f t="shared" ref="I6:I69" si="5">SUM(G6:H6)</f>
        <v>2</v>
      </c>
      <c r="J6" s="3">
        <v>2</v>
      </c>
      <c r="K6" s="3">
        <v>2</v>
      </c>
      <c r="L6" s="36">
        <f t="shared" ref="L6:L69" si="6">SUM(J6:K6)</f>
        <v>4</v>
      </c>
      <c r="M6" s="3">
        <v>2</v>
      </c>
      <c r="N6" s="38">
        <f t="shared" ref="N6:N69" si="7">SUM(M6:M6)</f>
        <v>2</v>
      </c>
      <c r="O6" s="3">
        <v>2</v>
      </c>
      <c r="P6" s="3">
        <v>0</v>
      </c>
      <c r="Q6" s="40">
        <f t="shared" si="0"/>
        <v>2</v>
      </c>
      <c r="R6" s="3">
        <v>2</v>
      </c>
      <c r="S6" s="40">
        <f t="shared" si="1"/>
        <v>2</v>
      </c>
      <c r="T6" s="3">
        <v>2</v>
      </c>
      <c r="U6" s="40">
        <f t="shared" si="2"/>
        <v>2</v>
      </c>
      <c r="X6" s="22">
        <f t="shared" si="3"/>
        <v>18</v>
      </c>
      <c r="Y6" s="22">
        <f>X6/22*100</f>
        <v>81.818181818181827</v>
      </c>
    </row>
    <row r="7" spans="1:25" ht="18.75" x14ac:dyDescent="0.3">
      <c r="A7" s="2">
        <v>2</v>
      </c>
      <c r="B7" s="16" t="s">
        <v>38</v>
      </c>
      <c r="C7" s="20" t="s">
        <v>39</v>
      </c>
      <c r="D7" s="3">
        <v>2</v>
      </c>
      <c r="E7" s="3">
        <v>2</v>
      </c>
      <c r="F7" s="36">
        <f t="shared" si="4"/>
        <v>4</v>
      </c>
      <c r="G7" s="3">
        <v>0</v>
      </c>
      <c r="H7" s="3">
        <v>2</v>
      </c>
      <c r="I7" s="36">
        <f t="shared" si="5"/>
        <v>2</v>
      </c>
      <c r="J7" s="3">
        <v>2</v>
      </c>
      <c r="K7" s="3">
        <v>2</v>
      </c>
      <c r="L7" s="36">
        <f t="shared" si="6"/>
        <v>4</v>
      </c>
      <c r="M7" s="3">
        <v>2</v>
      </c>
      <c r="N7" s="38">
        <f t="shared" si="7"/>
        <v>2</v>
      </c>
      <c r="O7" s="3">
        <v>2</v>
      </c>
      <c r="P7" s="3">
        <v>2</v>
      </c>
      <c r="Q7" s="40">
        <f t="shared" si="0"/>
        <v>4</v>
      </c>
      <c r="R7" s="3">
        <v>2</v>
      </c>
      <c r="S7" s="40">
        <f t="shared" si="1"/>
        <v>2</v>
      </c>
      <c r="T7" s="3">
        <v>2</v>
      </c>
      <c r="U7" s="40">
        <f t="shared" si="2"/>
        <v>2</v>
      </c>
      <c r="X7" s="22">
        <f t="shared" si="3"/>
        <v>20</v>
      </c>
      <c r="Y7" s="22">
        <f t="shared" ref="Y7:Y70" si="8">X7/22*100</f>
        <v>90.909090909090907</v>
      </c>
    </row>
    <row r="8" spans="1:25" ht="18.75" x14ac:dyDescent="0.3">
      <c r="A8" s="2">
        <v>3</v>
      </c>
      <c r="B8" s="16" t="s">
        <v>40</v>
      </c>
      <c r="C8" s="20" t="s">
        <v>41</v>
      </c>
      <c r="D8" s="3">
        <v>2</v>
      </c>
      <c r="E8" s="3">
        <v>2</v>
      </c>
      <c r="F8" s="36">
        <f t="shared" si="4"/>
        <v>4</v>
      </c>
      <c r="G8" s="3">
        <v>2</v>
      </c>
      <c r="H8" s="3">
        <v>2</v>
      </c>
      <c r="I8" s="36">
        <f t="shared" si="5"/>
        <v>4</v>
      </c>
      <c r="J8" s="3">
        <v>0</v>
      </c>
      <c r="K8" s="3">
        <v>2</v>
      </c>
      <c r="L8" s="36">
        <f t="shared" si="6"/>
        <v>2</v>
      </c>
      <c r="M8" s="3">
        <v>2</v>
      </c>
      <c r="N8" s="38">
        <f t="shared" si="7"/>
        <v>2</v>
      </c>
      <c r="O8" s="3">
        <v>2</v>
      </c>
      <c r="P8" s="3">
        <v>2</v>
      </c>
      <c r="Q8" s="40">
        <f t="shared" si="0"/>
        <v>4</v>
      </c>
      <c r="R8" s="3">
        <v>2</v>
      </c>
      <c r="S8" s="40">
        <f t="shared" si="1"/>
        <v>2</v>
      </c>
      <c r="T8" s="3">
        <v>2</v>
      </c>
      <c r="U8" s="40">
        <f t="shared" si="2"/>
        <v>2</v>
      </c>
      <c r="X8" s="22">
        <f t="shared" si="3"/>
        <v>20</v>
      </c>
      <c r="Y8" s="22">
        <f t="shared" si="8"/>
        <v>90.909090909090907</v>
      </c>
    </row>
    <row r="9" spans="1:25" ht="18.75" x14ac:dyDescent="0.3">
      <c r="A9" s="2">
        <v>4</v>
      </c>
      <c r="B9" s="16" t="s">
        <v>42</v>
      </c>
      <c r="C9" s="20" t="s">
        <v>43</v>
      </c>
      <c r="D9" s="3">
        <v>2</v>
      </c>
      <c r="E9" s="3">
        <v>2</v>
      </c>
      <c r="F9" s="36">
        <f t="shared" si="4"/>
        <v>4</v>
      </c>
      <c r="G9" s="3">
        <v>2</v>
      </c>
      <c r="H9" s="3">
        <v>2</v>
      </c>
      <c r="I9" s="36">
        <f t="shared" si="5"/>
        <v>4</v>
      </c>
      <c r="J9" s="3">
        <v>2</v>
      </c>
      <c r="K9" s="3">
        <v>2</v>
      </c>
      <c r="L9" s="36">
        <f t="shared" si="6"/>
        <v>4</v>
      </c>
      <c r="M9" s="3">
        <v>0</v>
      </c>
      <c r="N9" s="38">
        <f t="shared" si="7"/>
        <v>0</v>
      </c>
      <c r="O9" s="3">
        <v>2</v>
      </c>
      <c r="P9" s="3">
        <v>2</v>
      </c>
      <c r="Q9" s="40">
        <f t="shared" si="0"/>
        <v>4</v>
      </c>
      <c r="R9" s="3">
        <v>2</v>
      </c>
      <c r="S9" s="40">
        <f t="shared" si="1"/>
        <v>2</v>
      </c>
      <c r="T9" s="3">
        <v>2</v>
      </c>
      <c r="U9" s="40">
        <f t="shared" si="2"/>
        <v>2</v>
      </c>
      <c r="X9" s="22">
        <f t="shared" si="3"/>
        <v>20</v>
      </c>
      <c r="Y9" s="22">
        <f t="shared" si="8"/>
        <v>90.909090909090907</v>
      </c>
    </row>
    <row r="10" spans="1:25" ht="18.75" x14ac:dyDescent="0.3">
      <c r="A10" s="2">
        <v>5</v>
      </c>
      <c r="B10" s="16" t="s">
        <v>44</v>
      </c>
      <c r="C10" s="20" t="s">
        <v>45</v>
      </c>
      <c r="D10" s="3">
        <v>2</v>
      </c>
      <c r="E10" s="3">
        <v>2</v>
      </c>
      <c r="F10" s="36">
        <f t="shared" si="4"/>
        <v>4</v>
      </c>
      <c r="G10" s="3">
        <v>2</v>
      </c>
      <c r="H10" s="3">
        <v>2</v>
      </c>
      <c r="I10" s="36">
        <f t="shared" si="5"/>
        <v>4</v>
      </c>
      <c r="J10" s="3">
        <v>2</v>
      </c>
      <c r="K10" s="3">
        <v>0</v>
      </c>
      <c r="L10" s="36">
        <f t="shared" si="6"/>
        <v>2</v>
      </c>
      <c r="M10" s="3">
        <v>2</v>
      </c>
      <c r="N10" s="38">
        <f t="shared" si="7"/>
        <v>2</v>
      </c>
      <c r="O10" s="3">
        <v>2</v>
      </c>
      <c r="P10" s="3">
        <v>2</v>
      </c>
      <c r="Q10" s="40">
        <f t="shared" si="0"/>
        <v>4</v>
      </c>
      <c r="R10" s="3">
        <v>2</v>
      </c>
      <c r="S10" s="40">
        <f t="shared" si="1"/>
        <v>2</v>
      </c>
      <c r="T10" s="3">
        <v>2</v>
      </c>
      <c r="U10" s="40">
        <f t="shared" si="2"/>
        <v>2</v>
      </c>
      <c r="X10" s="22">
        <f t="shared" si="3"/>
        <v>20</v>
      </c>
      <c r="Y10" s="22">
        <f t="shared" si="8"/>
        <v>90.909090909090907</v>
      </c>
    </row>
    <row r="11" spans="1:25" ht="18.75" x14ac:dyDescent="0.3">
      <c r="A11" s="2">
        <v>6</v>
      </c>
      <c r="B11" s="16" t="s">
        <v>46</v>
      </c>
      <c r="C11" s="20" t="s">
        <v>47</v>
      </c>
      <c r="D11" s="3">
        <v>2</v>
      </c>
      <c r="E11" s="3">
        <v>2</v>
      </c>
      <c r="F11" s="36">
        <f t="shared" si="4"/>
        <v>4</v>
      </c>
      <c r="G11" s="3">
        <v>2</v>
      </c>
      <c r="H11" s="3">
        <v>0</v>
      </c>
      <c r="I11" s="36">
        <f t="shared" si="5"/>
        <v>2</v>
      </c>
      <c r="J11" s="3">
        <v>2</v>
      </c>
      <c r="K11" s="3">
        <v>2</v>
      </c>
      <c r="L11" s="36">
        <f t="shared" si="6"/>
        <v>4</v>
      </c>
      <c r="M11" s="3">
        <v>2</v>
      </c>
      <c r="N11" s="38">
        <f t="shared" si="7"/>
        <v>2</v>
      </c>
      <c r="O11" s="3">
        <v>2</v>
      </c>
      <c r="P11" s="3">
        <v>2</v>
      </c>
      <c r="Q11" s="40">
        <f t="shared" si="0"/>
        <v>4</v>
      </c>
      <c r="R11" s="3">
        <v>2</v>
      </c>
      <c r="S11" s="40">
        <f t="shared" si="1"/>
        <v>2</v>
      </c>
      <c r="T11" s="3">
        <v>2</v>
      </c>
      <c r="U11" s="40">
        <f t="shared" si="2"/>
        <v>2</v>
      </c>
      <c r="X11" s="22">
        <f t="shared" si="3"/>
        <v>20</v>
      </c>
      <c r="Y11" s="22">
        <f t="shared" si="8"/>
        <v>90.909090909090907</v>
      </c>
    </row>
    <row r="12" spans="1:25" ht="18.75" x14ac:dyDescent="0.3">
      <c r="A12" s="2">
        <v>7</v>
      </c>
      <c r="B12" s="16" t="s">
        <v>48</v>
      </c>
      <c r="C12" s="20" t="s">
        <v>49</v>
      </c>
      <c r="D12" s="3">
        <v>0</v>
      </c>
      <c r="E12" s="3">
        <v>2</v>
      </c>
      <c r="F12" s="36">
        <f t="shared" si="4"/>
        <v>2</v>
      </c>
      <c r="G12" s="3">
        <v>2</v>
      </c>
      <c r="H12" s="3">
        <v>2</v>
      </c>
      <c r="I12" s="36">
        <f t="shared" si="5"/>
        <v>4</v>
      </c>
      <c r="J12" s="3">
        <v>2</v>
      </c>
      <c r="K12" s="3">
        <v>2</v>
      </c>
      <c r="L12" s="36">
        <f t="shared" si="6"/>
        <v>4</v>
      </c>
      <c r="M12" s="3">
        <v>2</v>
      </c>
      <c r="N12" s="38">
        <f t="shared" si="7"/>
        <v>2</v>
      </c>
      <c r="O12" s="3">
        <v>2</v>
      </c>
      <c r="P12" s="3">
        <v>2</v>
      </c>
      <c r="Q12" s="40">
        <f t="shared" si="0"/>
        <v>4</v>
      </c>
      <c r="R12" s="3">
        <v>2</v>
      </c>
      <c r="S12" s="40">
        <f t="shared" si="1"/>
        <v>2</v>
      </c>
      <c r="T12" s="3">
        <v>2</v>
      </c>
      <c r="U12" s="40">
        <f t="shared" si="2"/>
        <v>2</v>
      </c>
      <c r="X12" s="22">
        <f t="shared" si="3"/>
        <v>20</v>
      </c>
      <c r="Y12" s="22">
        <f t="shared" si="8"/>
        <v>90.909090909090907</v>
      </c>
    </row>
    <row r="13" spans="1:25" ht="18.75" x14ac:dyDescent="0.3">
      <c r="A13" s="2">
        <v>8</v>
      </c>
      <c r="B13" s="16" t="s">
        <v>50</v>
      </c>
      <c r="C13" s="20" t="s">
        <v>51</v>
      </c>
      <c r="D13" s="3">
        <v>2</v>
      </c>
      <c r="E13" s="3">
        <v>2</v>
      </c>
      <c r="F13" s="36">
        <f t="shared" si="4"/>
        <v>4</v>
      </c>
      <c r="G13" s="3">
        <v>0</v>
      </c>
      <c r="H13" s="3">
        <v>2</v>
      </c>
      <c r="I13" s="36">
        <f t="shared" si="5"/>
        <v>2</v>
      </c>
      <c r="J13" s="3">
        <v>2</v>
      </c>
      <c r="K13" s="3">
        <v>2</v>
      </c>
      <c r="L13" s="36">
        <f t="shared" si="6"/>
        <v>4</v>
      </c>
      <c r="M13" s="3">
        <v>2</v>
      </c>
      <c r="N13" s="38">
        <f t="shared" si="7"/>
        <v>2</v>
      </c>
      <c r="O13" s="3">
        <v>2</v>
      </c>
      <c r="P13" s="3">
        <v>2</v>
      </c>
      <c r="Q13" s="40">
        <f t="shared" si="0"/>
        <v>4</v>
      </c>
      <c r="R13" s="3">
        <v>2</v>
      </c>
      <c r="S13" s="40">
        <f t="shared" si="1"/>
        <v>2</v>
      </c>
      <c r="T13" s="3">
        <v>2</v>
      </c>
      <c r="U13" s="40">
        <f t="shared" si="2"/>
        <v>2</v>
      </c>
      <c r="X13" s="22">
        <f t="shared" si="3"/>
        <v>20</v>
      </c>
      <c r="Y13" s="22">
        <f t="shared" si="8"/>
        <v>90.909090909090907</v>
      </c>
    </row>
    <row r="14" spans="1:25" ht="18.75" x14ac:dyDescent="0.3">
      <c r="A14" s="2">
        <v>9</v>
      </c>
      <c r="B14" s="16" t="s">
        <v>52</v>
      </c>
      <c r="C14" s="20" t="s">
        <v>53</v>
      </c>
      <c r="D14" s="3">
        <v>2</v>
      </c>
      <c r="E14" s="3">
        <v>2</v>
      </c>
      <c r="F14" s="36">
        <f t="shared" si="4"/>
        <v>4</v>
      </c>
      <c r="G14" s="3">
        <v>2</v>
      </c>
      <c r="H14" s="3">
        <v>2</v>
      </c>
      <c r="I14" s="36">
        <f t="shared" si="5"/>
        <v>4</v>
      </c>
      <c r="J14" s="3">
        <v>0</v>
      </c>
      <c r="K14" s="3">
        <v>2</v>
      </c>
      <c r="L14" s="36">
        <f t="shared" si="6"/>
        <v>2</v>
      </c>
      <c r="M14" s="3">
        <v>2</v>
      </c>
      <c r="N14" s="38">
        <f t="shared" si="7"/>
        <v>2</v>
      </c>
      <c r="O14" s="3">
        <v>2</v>
      </c>
      <c r="P14" s="3">
        <v>2</v>
      </c>
      <c r="Q14" s="40">
        <f t="shared" si="0"/>
        <v>4</v>
      </c>
      <c r="R14" s="3">
        <v>2</v>
      </c>
      <c r="S14" s="40">
        <f t="shared" si="1"/>
        <v>2</v>
      </c>
      <c r="T14" s="3">
        <v>2</v>
      </c>
      <c r="U14" s="40">
        <f t="shared" si="2"/>
        <v>2</v>
      </c>
      <c r="X14" s="22">
        <f t="shared" si="3"/>
        <v>20</v>
      </c>
      <c r="Y14" s="22">
        <f t="shared" si="8"/>
        <v>90.909090909090907</v>
      </c>
    </row>
    <row r="15" spans="1:25" ht="18.75" x14ac:dyDescent="0.3">
      <c r="A15" s="2">
        <v>10</v>
      </c>
      <c r="B15" s="16" t="s">
        <v>54</v>
      </c>
      <c r="C15" s="20" t="s">
        <v>55</v>
      </c>
      <c r="D15" s="3">
        <v>2</v>
      </c>
      <c r="E15" s="3">
        <v>2</v>
      </c>
      <c r="F15" s="36">
        <f t="shared" si="4"/>
        <v>4</v>
      </c>
      <c r="G15" s="3">
        <v>2</v>
      </c>
      <c r="H15" s="3">
        <v>2</v>
      </c>
      <c r="I15" s="36">
        <f t="shared" si="5"/>
        <v>4</v>
      </c>
      <c r="J15" s="3">
        <v>2</v>
      </c>
      <c r="K15" s="3">
        <v>2</v>
      </c>
      <c r="L15" s="36">
        <f t="shared" si="6"/>
        <v>4</v>
      </c>
      <c r="M15" s="3">
        <v>0</v>
      </c>
      <c r="N15" s="38">
        <f t="shared" si="7"/>
        <v>0</v>
      </c>
      <c r="O15" s="3">
        <v>2</v>
      </c>
      <c r="P15" s="3">
        <v>2</v>
      </c>
      <c r="Q15" s="40">
        <f t="shared" si="0"/>
        <v>4</v>
      </c>
      <c r="R15" s="3">
        <v>2</v>
      </c>
      <c r="S15" s="40">
        <f t="shared" si="1"/>
        <v>2</v>
      </c>
      <c r="T15" s="3">
        <v>2</v>
      </c>
      <c r="U15" s="40">
        <f t="shared" si="2"/>
        <v>2</v>
      </c>
      <c r="X15" s="22">
        <f t="shared" si="3"/>
        <v>20</v>
      </c>
      <c r="Y15" s="22">
        <f t="shared" si="8"/>
        <v>90.909090909090907</v>
      </c>
    </row>
    <row r="16" spans="1:25" ht="18.75" x14ac:dyDescent="0.3">
      <c r="A16" s="2">
        <v>11</v>
      </c>
      <c r="B16" s="16" t="s">
        <v>56</v>
      </c>
      <c r="C16" s="20" t="s">
        <v>57</v>
      </c>
      <c r="D16" s="3">
        <v>2</v>
      </c>
      <c r="E16" s="3">
        <v>2</v>
      </c>
      <c r="F16" s="36">
        <f t="shared" si="4"/>
        <v>4</v>
      </c>
      <c r="G16" s="3">
        <v>2</v>
      </c>
      <c r="H16" s="3">
        <v>2</v>
      </c>
      <c r="I16" s="36">
        <f t="shared" si="5"/>
        <v>4</v>
      </c>
      <c r="J16" s="3">
        <v>2</v>
      </c>
      <c r="K16" s="3">
        <v>0</v>
      </c>
      <c r="L16" s="36">
        <f t="shared" si="6"/>
        <v>2</v>
      </c>
      <c r="M16" s="3">
        <v>2</v>
      </c>
      <c r="N16" s="38">
        <f t="shared" si="7"/>
        <v>2</v>
      </c>
      <c r="O16" s="3">
        <v>2</v>
      </c>
      <c r="P16" s="3">
        <v>2</v>
      </c>
      <c r="Q16" s="40">
        <f t="shared" si="0"/>
        <v>4</v>
      </c>
      <c r="R16" s="3">
        <v>2</v>
      </c>
      <c r="S16" s="40">
        <f t="shared" si="1"/>
        <v>2</v>
      </c>
      <c r="T16" s="3">
        <v>2</v>
      </c>
      <c r="U16" s="40">
        <f t="shared" si="2"/>
        <v>2</v>
      </c>
      <c r="X16" s="22">
        <f t="shared" si="3"/>
        <v>20</v>
      </c>
      <c r="Y16" s="22">
        <f t="shared" si="8"/>
        <v>90.909090909090907</v>
      </c>
    </row>
    <row r="17" spans="1:25" ht="18.75" x14ac:dyDescent="0.3">
      <c r="A17" s="2">
        <v>12</v>
      </c>
      <c r="B17" s="16" t="s">
        <v>58</v>
      </c>
      <c r="C17" s="20" t="s">
        <v>59</v>
      </c>
      <c r="D17" s="3">
        <v>2</v>
      </c>
      <c r="E17" s="3">
        <v>2</v>
      </c>
      <c r="F17" s="36">
        <f t="shared" si="4"/>
        <v>4</v>
      </c>
      <c r="G17" s="3">
        <v>2</v>
      </c>
      <c r="H17" s="3">
        <v>0</v>
      </c>
      <c r="I17" s="36">
        <f t="shared" si="5"/>
        <v>2</v>
      </c>
      <c r="J17" s="3">
        <v>2</v>
      </c>
      <c r="K17" s="3">
        <v>2</v>
      </c>
      <c r="L17" s="36">
        <f t="shared" si="6"/>
        <v>4</v>
      </c>
      <c r="M17" s="3">
        <v>2</v>
      </c>
      <c r="N17" s="38">
        <f t="shared" si="7"/>
        <v>2</v>
      </c>
      <c r="O17" s="3">
        <v>2</v>
      </c>
      <c r="P17" s="3">
        <v>2</v>
      </c>
      <c r="Q17" s="40">
        <f t="shared" si="0"/>
        <v>4</v>
      </c>
      <c r="R17" s="3">
        <v>2</v>
      </c>
      <c r="S17" s="40">
        <f t="shared" si="1"/>
        <v>2</v>
      </c>
      <c r="T17" s="3">
        <v>2</v>
      </c>
      <c r="U17" s="40">
        <f t="shared" si="2"/>
        <v>2</v>
      </c>
      <c r="X17" s="22">
        <f t="shared" si="3"/>
        <v>20</v>
      </c>
      <c r="Y17" s="22">
        <f t="shared" si="8"/>
        <v>90.909090909090907</v>
      </c>
    </row>
    <row r="18" spans="1:25" ht="18.75" x14ac:dyDescent="0.3">
      <c r="A18" s="2">
        <v>13</v>
      </c>
      <c r="B18" s="16" t="s">
        <v>60</v>
      </c>
      <c r="C18" s="20" t="s">
        <v>61</v>
      </c>
      <c r="D18" s="3">
        <v>2</v>
      </c>
      <c r="E18" s="3">
        <v>2</v>
      </c>
      <c r="F18" s="36">
        <f t="shared" si="4"/>
        <v>4</v>
      </c>
      <c r="G18" s="3">
        <v>2</v>
      </c>
      <c r="H18" s="3">
        <v>2</v>
      </c>
      <c r="I18" s="36">
        <f t="shared" si="5"/>
        <v>4</v>
      </c>
      <c r="J18" s="3">
        <v>0</v>
      </c>
      <c r="K18" s="3">
        <v>2</v>
      </c>
      <c r="L18" s="36">
        <f t="shared" si="6"/>
        <v>2</v>
      </c>
      <c r="M18" s="3">
        <v>2</v>
      </c>
      <c r="N18" s="38">
        <f t="shared" si="7"/>
        <v>2</v>
      </c>
      <c r="O18" s="3">
        <v>2</v>
      </c>
      <c r="P18" s="3">
        <v>2</v>
      </c>
      <c r="Q18" s="40">
        <f t="shared" si="0"/>
        <v>4</v>
      </c>
      <c r="R18" s="3">
        <v>0</v>
      </c>
      <c r="S18" s="40">
        <f t="shared" si="1"/>
        <v>0</v>
      </c>
      <c r="T18" s="3">
        <v>2</v>
      </c>
      <c r="U18" s="40">
        <f t="shared" si="2"/>
        <v>2</v>
      </c>
      <c r="X18" s="22">
        <f t="shared" si="3"/>
        <v>18</v>
      </c>
      <c r="Y18" s="22">
        <f t="shared" si="8"/>
        <v>81.818181818181827</v>
      </c>
    </row>
    <row r="19" spans="1:25" ht="18.75" x14ac:dyDescent="0.3">
      <c r="A19" s="2">
        <v>14</v>
      </c>
      <c r="B19" s="16" t="s">
        <v>62</v>
      </c>
      <c r="C19" s="20" t="s">
        <v>63</v>
      </c>
      <c r="D19" s="3">
        <v>2</v>
      </c>
      <c r="E19" s="3">
        <v>2</v>
      </c>
      <c r="F19" s="36">
        <f t="shared" si="4"/>
        <v>4</v>
      </c>
      <c r="G19" s="3">
        <v>0</v>
      </c>
      <c r="H19" s="3">
        <v>2</v>
      </c>
      <c r="I19" s="36">
        <f t="shared" si="5"/>
        <v>2</v>
      </c>
      <c r="J19" s="3">
        <v>2</v>
      </c>
      <c r="K19" s="3">
        <v>2</v>
      </c>
      <c r="L19" s="36">
        <f t="shared" si="6"/>
        <v>4</v>
      </c>
      <c r="M19" s="3">
        <v>2</v>
      </c>
      <c r="N19" s="38">
        <f t="shared" si="7"/>
        <v>2</v>
      </c>
      <c r="O19" s="3">
        <v>2</v>
      </c>
      <c r="P19" s="3">
        <v>2</v>
      </c>
      <c r="Q19" s="40">
        <f t="shared" si="0"/>
        <v>4</v>
      </c>
      <c r="R19" s="3">
        <v>2</v>
      </c>
      <c r="S19" s="40">
        <f t="shared" si="1"/>
        <v>2</v>
      </c>
      <c r="T19" s="3">
        <v>2</v>
      </c>
      <c r="U19" s="40">
        <f t="shared" si="2"/>
        <v>2</v>
      </c>
      <c r="X19" s="22">
        <f t="shared" si="3"/>
        <v>20</v>
      </c>
      <c r="Y19" s="22">
        <f t="shared" si="8"/>
        <v>90.909090909090907</v>
      </c>
    </row>
    <row r="20" spans="1:25" ht="18.75" x14ac:dyDescent="0.3">
      <c r="A20" s="2">
        <v>15</v>
      </c>
      <c r="B20" s="16" t="s">
        <v>64</v>
      </c>
      <c r="C20" s="20" t="s">
        <v>65</v>
      </c>
      <c r="D20" s="3">
        <v>2</v>
      </c>
      <c r="E20" s="3">
        <v>2</v>
      </c>
      <c r="F20" s="36">
        <f t="shared" si="4"/>
        <v>4</v>
      </c>
      <c r="G20" s="3">
        <v>2</v>
      </c>
      <c r="H20" s="3">
        <v>2</v>
      </c>
      <c r="I20" s="36">
        <f t="shared" si="5"/>
        <v>4</v>
      </c>
      <c r="J20" s="3">
        <v>0</v>
      </c>
      <c r="K20" s="3">
        <v>2</v>
      </c>
      <c r="L20" s="36">
        <f t="shared" si="6"/>
        <v>2</v>
      </c>
      <c r="M20" s="3">
        <v>2</v>
      </c>
      <c r="N20" s="38">
        <f t="shared" si="7"/>
        <v>2</v>
      </c>
      <c r="O20" s="3">
        <v>2</v>
      </c>
      <c r="P20" s="3">
        <v>2</v>
      </c>
      <c r="Q20" s="40">
        <f t="shared" si="0"/>
        <v>4</v>
      </c>
      <c r="R20" s="3">
        <v>2</v>
      </c>
      <c r="S20" s="40">
        <f t="shared" si="1"/>
        <v>2</v>
      </c>
      <c r="T20" s="3">
        <v>2</v>
      </c>
      <c r="U20" s="40">
        <f t="shared" si="2"/>
        <v>2</v>
      </c>
      <c r="X20" s="22">
        <f t="shared" si="3"/>
        <v>20</v>
      </c>
      <c r="Y20" s="22">
        <f t="shared" si="8"/>
        <v>90.909090909090907</v>
      </c>
    </row>
    <row r="21" spans="1:25" ht="18.75" x14ac:dyDescent="0.3">
      <c r="A21" s="2">
        <v>16</v>
      </c>
      <c r="B21" s="16" t="s">
        <v>66</v>
      </c>
      <c r="C21" s="20" t="s">
        <v>67</v>
      </c>
      <c r="D21" s="3">
        <v>2</v>
      </c>
      <c r="E21" s="3">
        <v>2</v>
      </c>
      <c r="F21" s="36">
        <f t="shared" si="4"/>
        <v>4</v>
      </c>
      <c r="G21" s="3">
        <v>2</v>
      </c>
      <c r="H21" s="3">
        <v>2</v>
      </c>
      <c r="I21" s="36">
        <f t="shared" si="5"/>
        <v>4</v>
      </c>
      <c r="J21" s="3">
        <v>2</v>
      </c>
      <c r="K21" s="3">
        <v>2</v>
      </c>
      <c r="L21" s="36">
        <f t="shared" si="6"/>
        <v>4</v>
      </c>
      <c r="M21" s="3">
        <v>0</v>
      </c>
      <c r="N21" s="38">
        <f t="shared" si="7"/>
        <v>0</v>
      </c>
      <c r="O21" s="3">
        <v>2</v>
      </c>
      <c r="P21" s="3">
        <v>2</v>
      </c>
      <c r="Q21" s="40">
        <f t="shared" si="0"/>
        <v>4</v>
      </c>
      <c r="R21" s="3">
        <v>2</v>
      </c>
      <c r="S21" s="40">
        <f t="shared" si="1"/>
        <v>2</v>
      </c>
      <c r="T21" s="3">
        <v>2</v>
      </c>
      <c r="U21" s="40">
        <f t="shared" si="2"/>
        <v>2</v>
      </c>
      <c r="X21" s="22">
        <f t="shared" si="3"/>
        <v>20</v>
      </c>
      <c r="Y21" s="22">
        <f t="shared" si="8"/>
        <v>90.909090909090907</v>
      </c>
    </row>
    <row r="22" spans="1:25" ht="18.75" x14ac:dyDescent="0.3">
      <c r="A22" s="2">
        <v>17</v>
      </c>
      <c r="B22" s="16" t="s">
        <v>68</v>
      </c>
      <c r="C22" s="20" t="s">
        <v>69</v>
      </c>
      <c r="D22" s="3">
        <v>2</v>
      </c>
      <c r="E22" s="3">
        <v>2</v>
      </c>
      <c r="F22" s="36">
        <f t="shared" si="4"/>
        <v>4</v>
      </c>
      <c r="G22" s="3">
        <v>2</v>
      </c>
      <c r="H22" s="3">
        <v>2</v>
      </c>
      <c r="I22" s="36">
        <f t="shared" si="5"/>
        <v>4</v>
      </c>
      <c r="J22" s="3">
        <v>2</v>
      </c>
      <c r="K22" s="3">
        <v>0</v>
      </c>
      <c r="L22" s="36">
        <f t="shared" si="6"/>
        <v>2</v>
      </c>
      <c r="M22" s="3">
        <v>2</v>
      </c>
      <c r="N22" s="38">
        <f t="shared" si="7"/>
        <v>2</v>
      </c>
      <c r="O22" s="3">
        <v>2</v>
      </c>
      <c r="P22" s="3">
        <v>2</v>
      </c>
      <c r="Q22" s="40">
        <f t="shared" si="0"/>
        <v>4</v>
      </c>
      <c r="R22" s="3">
        <v>2</v>
      </c>
      <c r="S22" s="40">
        <f t="shared" si="1"/>
        <v>2</v>
      </c>
      <c r="T22" s="3">
        <v>2</v>
      </c>
      <c r="U22" s="40">
        <f t="shared" si="2"/>
        <v>2</v>
      </c>
      <c r="X22" s="22">
        <f t="shared" si="3"/>
        <v>20</v>
      </c>
      <c r="Y22" s="22">
        <f t="shared" si="8"/>
        <v>90.909090909090907</v>
      </c>
    </row>
    <row r="23" spans="1:25" ht="18.75" x14ac:dyDescent="0.3">
      <c r="A23" s="2">
        <v>18</v>
      </c>
      <c r="B23" s="16" t="s">
        <v>70</v>
      </c>
      <c r="C23" s="20" t="s">
        <v>71</v>
      </c>
      <c r="D23" s="3">
        <v>2</v>
      </c>
      <c r="E23" s="3">
        <v>2</v>
      </c>
      <c r="F23" s="36">
        <f t="shared" si="4"/>
        <v>4</v>
      </c>
      <c r="G23" s="3">
        <v>2</v>
      </c>
      <c r="H23" s="3">
        <v>0</v>
      </c>
      <c r="I23" s="36">
        <f t="shared" si="5"/>
        <v>2</v>
      </c>
      <c r="J23" s="3">
        <v>2</v>
      </c>
      <c r="K23" s="3">
        <v>2</v>
      </c>
      <c r="L23" s="36">
        <f t="shared" si="6"/>
        <v>4</v>
      </c>
      <c r="M23" s="3">
        <v>2</v>
      </c>
      <c r="N23" s="38">
        <f t="shared" si="7"/>
        <v>2</v>
      </c>
      <c r="O23" s="3">
        <v>2</v>
      </c>
      <c r="P23" s="3">
        <v>2</v>
      </c>
      <c r="Q23" s="40">
        <f t="shared" si="0"/>
        <v>4</v>
      </c>
      <c r="R23" s="3">
        <v>2</v>
      </c>
      <c r="S23" s="40">
        <f t="shared" si="1"/>
        <v>2</v>
      </c>
      <c r="T23" s="3">
        <v>2</v>
      </c>
      <c r="U23" s="40">
        <f t="shared" si="2"/>
        <v>2</v>
      </c>
      <c r="X23" s="22">
        <f t="shared" si="3"/>
        <v>20</v>
      </c>
      <c r="Y23" s="22">
        <f t="shared" si="8"/>
        <v>90.909090909090907</v>
      </c>
    </row>
    <row r="24" spans="1:25" ht="18" x14ac:dyDescent="0.35">
      <c r="A24" s="2">
        <v>19</v>
      </c>
      <c r="B24" s="16" t="s">
        <v>72</v>
      </c>
      <c r="C24" s="20" t="s">
        <v>73</v>
      </c>
      <c r="D24" s="3">
        <v>2</v>
      </c>
      <c r="E24" s="3">
        <v>2</v>
      </c>
      <c r="F24" s="36">
        <f t="shared" si="4"/>
        <v>4</v>
      </c>
      <c r="G24" s="3">
        <v>2</v>
      </c>
      <c r="H24" s="3">
        <v>2</v>
      </c>
      <c r="I24" s="36">
        <f t="shared" si="5"/>
        <v>4</v>
      </c>
      <c r="J24" s="3">
        <v>2</v>
      </c>
      <c r="K24" s="3">
        <v>2</v>
      </c>
      <c r="L24" s="36">
        <f t="shared" si="6"/>
        <v>4</v>
      </c>
      <c r="M24" s="3">
        <v>2</v>
      </c>
      <c r="N24" s="38">
        <f t="shared" si="7"/>
        <v>2</v>
      </c>
      <c r="O24" s="3">
        <v>0</v>
      </c>
      <c r="P24" s="3">
        <v>2</v>
      </c>
      <c r="Q24" s="40">
        <f t="shared" si="0"/>
        <v>2</v>
      </c>
      <c r="R24" s="3">
        <v>2</v>
      </c>
      <c r="S24" s="40">
        <f t="shared" si="1"/>
        <v>2</v>
      </c>
      <c r="T24" s="3">
        <v>0</v>
      </c>
      <c r="U24" s="40">
        <f t="shared" si="2"/>
        <v>0</v>
      </c>
      <c r="X24" s="22">
        <f t="shared" si="3"/>
        <v>18</v>
      </c>
      <c r="Y24" s="22">
        <f t="shared" si="8"/>
        <v>81.818181818181827</v>
      </c>
    </row>
    <row r="25" spans="1:25" ht="18" x14ac:dyDescent="0.35">
      <c r="A25" s="2">
        <v>20</v>
      </c>
      <c r="B25" s="16" t="s">
        <v>74</v>
      </c>
      <c r="C25" s="20" t="s">
        <v>75</v>
      </c>
      <c r="D25" s="3">
        <v>2</v>
      </c>
      <c r="E25" s="3">
        <v>2</v>
      </c>
      <c r="F25" s="36">
        <f t="shared" si="4"/>
        <v>4</v>
      </c>
      <c r="G25" s="3">
        <v>0</v>
      </c>
      <c r="H25" s="3">
        <v>2</v>
      </c>
      <c r="I25" s="36">
        <f t="shared" si="5"/>
        <v>2</v>
      </c>
      <c r="J25" s="3">
        <v>2</v>
      </c>
      <c r="K25" s="3">
        <v>2</v>
      </c>
      <c r="L25" s="36">
        <f t="shared" si="6"/>
        <v>4</v>
      </c>
      <c r="M25" s="3">
        <v>2</v>
      </c>
      <c r="N25" s="38">
        <f t="shared" si="7"/>
        <v>2</v>
      </c>
      <c r="O25" s="3">
        <v>2</v>
      </c>
      <c r="P25" s="3">
        <v>2</v>
      </c>
      <c r="Q25" s="40">
        <f t="shared" si="0"/>
        <v>4</v>
      </c>
      <c r="R25" s="3">
        <v>2</v>
      </c>
      <c r="S25" s="40">
        <f t="shared" si="1"/>
        <v>2</v>
      </c>
      <c r="T25" s="3">
        <v>2</v>
      </c>
      <c r="U25" s="40">
        <f t="shared" si="2"/>
        <v>2</v>
      </c>
      <c r="X25" s="22">
        <f t="shared" si="3"/>
        <v>20</v>
      </c>
      <c r="Y25" s="22">
        <f t="shared" si="8"/>
        <v>90.909090909090907</v>
      </c>
    </row>
    <row r="26" spans="1:25" ht="18" x14ac:dyDescent="0.35">
      <c r="A26" s="2">
        <v>21</v>
      </c>
      <c r="B26" s="16" t="s">
        <v>76</v>
      </c>
      <c r="C26" s="20" t="s">
        <v>77</v>
      </c>
      <c r="D26" s="3">
        <v>2</v>
      </c>
      <c r="E26" s="3">
        <v>2</v>
      </c>
      <c r="F26" s="36">
        <f t="shared" si="4"/>
        <v>4</v>
      </c>
      <c r="G26" s="3">
        <v>2</v>
      </c>
      <c r="H26" s="3">
        <v>2</v>
      </c>
      <c r="I26" s="36">
        <f t="shared" si="5"/>
        <v>4</v>
      </c>
      <c r="J26" s="3">
        <v>0</v>
      </c>
      <c r="K26" s="3">
        <v>2</v>
      </c>
      <c r="L26" s="36">
        <f t="shared" si="6"/>
        <v>2</v>
      </c>
      <c r="M26" s="3">
        <v>2</v>
      </c>
      <c r="N26" s="38">
        <f t="shared" si="7"/>
        <v>2</v>
      </c>
      <c r="O26" s="3">
        <v>2</v>
      </c>
      <c r="P26" s="3">
        <v>2</v>
      </c>
      <c r="Q26" s="40">
        <f t="shared" si="0"/>
        <v>4</v>
      </c>
      <c r="R26" s="3">
        <v>2</v>
      </c>
      <c r="S26" s="40">
        <f t="shared" si="1"/>
        <v>2</v>
      </c>
      <c r="T26" s="3">
        <v>2</v>
      </c>
      <c r="U26" s="40">
        <f t="shared" si="2"/>
        <v>2</v>
      </c>
      <c r="X26" s="22">
        <f t="shared" si="3"/>
        <v>20</v>
      </c>
      <c r="Y26" s="22">
        <f t="shared" si="8"/>
        <v>90.909090909090907</v>
      </c>
    </row>
    <row r="27" spans="1:25" ht="18" x14ac:dyDescent="0.35">
      <c r="A27" s="2">
        <v>22</v>
      </c>
      <c r="B27" s="16" t="s">
        <v>78</v>
      </c>
      <c r="C27" s="20" t="s">
        <v>79</v>
      </c>
      <c r="D27" s="3">
        <v>2</v>
      </c>
      <c r="E27" s="3">
        <v>2</v>
      </c>
      <c r="F27" s="36">
        <f t="shared" si="4"/>
        <v>4</v>
      </c>
      <c r="G27" s="3">
        <v>2</v>
      </c>
      <c r="H27" s="3">
        <v>2</v>
      </c>
      <c r="I27" s="36">
        <f t="shared" si="5"/>
        <v>4</v>
      </c>
      <c r="J27" s="3">
        <v>2</v>
      </c>
      <c r="K27" s="3">
        <v>2</v>
      </c>
      <c r="L27" s="36">
        <f t="shared" si="6"/>
        <v>4</v>
      </c>
      <c r="M27" s="3">
        <v>0</v>
      </c>
      <c r="N27" s="38">
        <f t="shared" si="7"/>
        <v>0</v>
      </c>
      <c r="O27" s="3">
        <v>2</v>
      </c>
      <c r="P27" s="3">
        <v>2</v>
      </c>
      <c r="Q27" s="40">
        <f t="shared" si="0"/>
        <v>4</v>
      </c>
      <c r="R27" s="3">
        <v>2</v>
      </c>
      <c r="S27" s="40">
        <f t="shared" si="1"/>
        <v>2</v>
      </c>
      <c r="T27" s="3">
        <v>2</v>
      </c>
      <c r="U27" s="40">
        <f t="shared" si="2"/>
        <v>2</v>
      </c>
      <c r="X27" s="22">
        <f t="shared" si="3"/>
        <v>20</v>
      </c>
      <c r="Y27" s="22">
        <f t="shared" si="8"/>
        <v>90.909090909090907</v>
      </c>
    </row>
    <row r="28" spans="1:25" ht="18" x14ac:dyDescent="0.35">
      <c r="A28" s="2">
        <v>23</v>
      </c>
      <c r="B28" s="16" t="s">
        <v>80</v>
      </c>
      <c r="C28" s="20" t="s">
        <v>81</v>
      </c>
      <c r="D28" s="3">
        <v>2</v>
      </c>
      <c r="E28" s="3">
        <v>2</v>
      </c>
      <c r="F28" s="36">
        <f t="shared" si="4"/>
        <v>4</v>
      </c>
      <c r="G28" s="3">
        <v>2</v>
      </c>
      <c r="H28" s="3">
        <v>2</v>
      </c>
      <c r="I28" s="36">
        <f t="shared" si="5"/>
        <v>4</v>
      </c>
      <c r="J28" s="3">
        <v>2</v>
      </c>
      <c r="K28" s="3">
        <v>0</v>
      </c>
      <c r="L28" s="36">
        <f t="shared" si="6"/>
        <v>2</v>
      </c>
      <c r="M28" s="3">
        <v>2</v>
      </c>
      <c r="N28" s="38">
        <f t="shared" si="7"/>
        <v>2</v>
      </c>
      <c r="O28" s="3">
        <v>2</v>
      </c>
      <c r="P28" s="3">
        <v>2</v>
      </c>
      <c r="Q28" s="40">
        <f t="shared" si="0"/>
        <v>4</v>
      </c>
      <c r="R28" s="3">
        <v>2</v>
      </c>
      <c r="S28" s="40">
        <f t="shared" si="1"/>
        <v>2</v>
      </c>
      <c r="T28" s="3">
        <v>2</v>
      </c>
      <c r="U28" s="40">
        <f t="shared" si="2"/>
        <v>2</v>
      </c>
      <c r="X28" s="22">
        <f t="shared" si="3"/>
        <v>20</v>
      </c>
      <c r="Y28" s="22">
        <f t="shared" si="8"/>
        <v>90.909090909090907</v>
      </c>
    </row>
    <row r="29" spans="1:25" ht="18" x14ac:dyDescent="0.35">
      <c r="A29" s="2">
        <v>24</v>
      </c>
      <c r="B29" s="16" t="s">
        <v>82</v>
      </c>
      <c r="C29" s="20" t="s">
        <v>83</v>
      </c>
      <c r="D29" s="3">
        <v>2</v>
      </c>
      <c r="E29" s="3">
        <v>2</v>
      </c>
      <c r="F29" s="36">
        <f t="shared" si="4"/>
        <v>4</v>
      </c>
      <c r="G29" s="3">
        <v>2</v>
      </c>
      <c r="H29" s="3">
        <v>0</v>
      </c>
      <c r="I29" s="36">
        <f t="shared" si="5"/>
        <v>2</v>
      </c>
      <c r="J29" s="3">
        <v>2</v>
      </c>
      <c r="K29" s="3">
        <v>2</v>
      </c>
      <c r="L29" s="36">
        <f t="shared" si="6"/>
        <v>4</v>
      </c>
      <c r="M29" s="3">
        <v>2</v>
      </c>
      <c r="N29" s="38">
        <f t="shared" si="7"/>
        <v>2</v>
      </c>
      <c r="O29" s="3">
        <v>2</v>
      </c>
      <c r="P29" s="3">
        <v>2</v>
      </c>
      <c r="Q29" s="40">
        <f t="shared" si="0"/>
        <v>4</v>
      </c>
      <c r="R29" s="3">
        <v>2</v>
      </c>
      <c r="S29" s="40">
        <f t="shared" si="1"/>
        <v>2</v>
      </c>
      <c r="T29" s="3">
        <v>2</v>
      </c>
      <c r="U29" s="40">
        <f t="shared" si="2"/>
        <v>2</v>
      </c>
      <c r="X29" s="22">
        <f t="shared" si="3"/>
        <v>20</v>
      </c>
      <c r="Y29" s="22">
        <f t="shared" si="8"/>
        <v>90.909090909090907</v>
      </c>
    </row>
    <row r="30" spans="1:25" ht="18" x14ac:dyDescent="0.35">
      <c r="A30" s="2">
        <v>25</v>
      </c>
      <c r="B30" s="16" t="s">
        <v>84</v>
      </c>
      <c r="C30" s="20" t="s">
        <v>85</v>
      </c>
      <c r="D30" s="3">
        <v>2</v>
      </c>
      <c r="E30" s="3">
        <v>2</v>
      </c>
      <c r="F30" s="36">
        <f t="shared" si="4"/>
        <v>4</v>
      </c>
      <c r="G30" s="3">
        <v>2</v>
      </c>
      <c r="H30" s="3">
        <v>2</v>
      </c>
      <c r="I30" s="36">
        <f t="shared" si="5"/>
        <v>4</v>
      </c>
      <c r="J30" s="3">
        <v>2</v>
      </c>
      <c r="K30" s="3">
        <v>2</v>
      </c>
      <c r="L30" s="36">
        <f t="shared" si="6"/>
        <v>4</v>
      </c>
      <c r="M30" s="3">
        <v>2</v>
      </c>
      <c r="N30" s="38">
        <f t="shared" si="7"/>
        <v>2</v>
      </c>
      <c r="O30" s="3">
        <v>2</v>
      </c>
      <c r="P30" s="3">
        <v>2</v>
      </c>
      <c r="Q30" s="40">
        <f t="shared" si="0"/>
        <v>4</v>
      </c>
      <c r="R30" s="3">
        <v>0</v>
      </c>
      <c r="S30" s="40">
        <f t="shared" si="1"/>
        <v>0</v>
      </c>
      <c r="T30" s="3">
        <v>0</v>
      </c>
      <c r="U30" s="40">
        <f t="shared" si="2"/>
        <v>0</v>
      </c>
      <c r="X30" s="22">
        <f t="shared" si="3"/>
        <v>18</v>
      </c>
      <c r="Y30" s="22">
        <f t="shared" si="8"/>
        <v>81.818181818181827</v>
      </c>
    </row>
    <row r="31" spans="1:25" ht="18" x14ac:dyDescent="0.35">
      <c r="A31" s="2">
        <v>26</v>
      </c>
      <c r="B31" s="16" t="s">
        <v>86</v>
      </c>
      <c r="C31" s="20" t="s">
        <v>87</v>
      </c>
      <c r="D31" s="3">
        <v>2</v>
      </c>
      <c r="E31" s="3">
        <v>2</v>
      </c>
      <c r="F31" s="36">
        <f t="shared" si="4"/>
        <v>4</v>
      </c>
      <c r="G31" s="3">
        <v>0</v>
      </c>
      <c r="H31" s="3">
        <v>2</v>
      </c>
      <c r="I31" s="36">
        <f t="shared" si="5"/>
        <v>2</v>
      </c>
      <c r="J31" s="3">
        <v>2</v>
      </c>
      <c r="K31" s="3">
        <v>2</v>
      </c>
      <c r="L31" s="36">
        <f t="shared" si="6"/>
        <v>4</v>
      </c>
      <c r="M31" s="3">
        <v>2</v>
      </c>
      <c r="N31" s="38">
        <f t="shared" si="7"/>
        <v>2</v>
      </c>
      <c r="O31" s="3">
        <v>2</v>
      </c>
      <c r="P31" s="3">
        <v>2</v>
      </c>
      <c r="Q31" s="40">
        <f t="shared" si="0"/>
        <v>4</v>
      </c>
      <c r="R31" s="3">
        <v>2</v>
      </c>
      <c r="S31" s="40">
        <f t="shared" si="1"/>
        <v>2</v>
      </c>
      <c r="T31" s="3">
        <v>2</v>
      </c>
      <c r="U31" s="40">
        <f t="shared" si="2"/>
        <v>2</v>
      </c>
      <c r="X31" s="22">
        <f t="shared" si="3"/>
        <v>20</v>
      </c>
      <c r="Y31" s="22">
        <f t="shared" si="8"/>
        <v>90.909090909090907</v>
      </c>
    </row>
    <row r="32" spans="1:25" ht="18" x14ac:dyDescent="0.35">
      <c r="A32" s="2">
        <v>27</v>
      </c>
      <c r="B32" s="16" t="s">
        <v>88</v>
      </c>
      <c r="C32" s="20" t="s">
        <v>89</v>
      </c>
      <c r="D32" s="3">
        <v>2</v>
      </c>
      <c r="E32" s="3">
        <v>2</v>
      </c>
      <c r="F32" s="36">
        <f t="shared" si="4"/>
        <v>4</v>
      </c>
      <c r="G32" s="3">
        <v>2</v>
      </c>
      <c r="H32" s="3">
        <v>2</v>
      </c>
      <c r="I32" s="36">
        <f t="shared" si="5"/>
        <v>4</v>
      </c>
      <c r="J32" s="3">
        <v>0</v>
      </c>
      <c r="K32" s="3">
        <v>2</v>
      </c>
      <c r="L32" s="36">
        <f t="shared" si="6"/>
        <v>2</v>
      </c>
      <c r="M32" s="3">
        <v>2</v>
      </c>
      <c r="N32" s="38">
        <f t="shared" si="7"/>
        <v>2</v>
      </c>
      <c r="O32" s="3">
        <v>2</v>
      </c>
      <c r="P32" s="3">
        <v>2</v>
      </c>
      <c r="Q32" s="40">
        <f t="shared" si="0"/>
        <v>4</v>
      </c>
      <c r="R32" s="3">
        <v>2</v>
      </c>
      <c r="S32" s="40">
        <f t="shared" si="1"/>
        <v>2</v>
      </c>
      <c r="T32" s="3">
        <v>2</v>
      </c>
      <c r="U32" s="40">
        <f t="shared" si="2"/>
        <v>2</v>
      </c>
      <c r="X32" s="22">
        <f t="shared" si="3"/>
        <v>20</v>
      </c>
      <c r="Y32" s="22">
        <f t="shared" si="8"/>
        <v>90.909090909090907</v>
      </c>
    </row>
    <row r="33" spans="1:25" ht="18" x14ac:dyDescent="0.35">
      <c r="A33" s="2">
        <v>28</v>
      </c>
      <c r="B33" s="16" t="s">
        <v>90</v>
      </c>
      <c r="C33" s="20" t="s">
        <v>91</v>
      </c>
      <c r="D33" s="3">
        <v>2</v>
      </c>
      <c r="E33" s="3">
        <v>2</v>
      </c>
      <c r="F33" s="36">
        <f t="shared" si="4"/>
        <v>4</v>
      </c>
      <c r="G33" s="3">
        <v>2</v>
      </c>
      <c r="H33" s="3">
        <v>2</v>
      </c>
      <c r="I33" s="36">
        <f t="shared" si="5"/>
        <v>4</v>
      </c>
      <c r="J33" s="3">
        <v>2</v>
      </c>
      <c r="K33" s="3">
        <v>2</v>
      </c>
      <c r="L33" s="36">
        <f t="shared" si="6"/>
        <v>4</v>
      </c>
      <c r="M33" s="3">
        <v>0</v>
      </c>
      <c r="N33" s="38">
        <f t="shared" si="7"/>
        <v>0</v>
      </c>
      <c r="O33" s="3">
        <v>2</v>
      </c>
      <c r="P33" s="3">
        <v>2</v>
      </c>
      <c r="Q33" s="40">
        <f t="shared" si="0"/>
        <v>4</v>
      </c>
      <c r="R33" s="3">
        <v>2</v>
      </c>
      <c r="S33" s="40">
        <f t="shared" si="1"/>
        <v>2</v>
      </c>
      <c r="T33" s="3">
        <v>2</v>
      </c>
      <c r="U33" s="40">
        <f t="shared" si="2"/>
        <v>2</v>
      </c>
      <c r="X33" s="22">
        <f t="shared" si="3"/>
        <v>20</v>
      </c>
      <c r="Y33" s="22">
        <f t="shared" si="8"/>
        <v>90.909090909090907</v>
      </c>
    </row>
    <row r="34" spans="1:25" ht="18" x14ac:dyDescent="0.35">
      <c r="A34" s="2">
        <v>29</v>
      </c>
      <c r="B34" s="16" t="s">
        <v>92</v>
      </c>
      <c r="C34" s="20" t="s">
        <v>93</v>
      </c>
      <c r="D34" s="3">
        <v>2</v>
      </c>
      <c r="E34" s="3">
        <v>2</v>
      </c>
      <c r="F34" s="36">
        <f t="shared" si="4"/>
        <v>4</v>
      </c>
      <c r="G34" s="3">
        <v>2</v>
      </c>
      <c r="H34" s="3">
        <v>2</v>
      </c>
      <c r="I34" s="36">
        <f t="shared" si="5"/>
        <v>4</v>
      </c>
      <c r="J34" s="3">
        <v>2</v>
      </c>
      <c r="K34" s="3">
        <v>0</v>
      </c>
      <c r="L34" s="36">
        <f t="shared" si="6"/>
        <v>2</v>
      </c>
      <c r="M34" s="3">
        <v>2</v>
      </c>
      <c r="N34" s="38">
        <f t="shared" si="7"/>
        <v>2</v>
      </c>
      <c r="O34" s="3">
        <v>2</v>
      </c>
      <c r="P34" s="3">
        <v>2</v>
      </c>
      <c r="Q34" s="40">
        <f t="shared" si="0"/>
        <v>4</v>
      </c>
      <c r="R34" s="3">
        <v>2</v>
      </c>
      <c r="S34" s="40">
        <f t="shared" si="1"/>
        <v>2</v>
      </c>
      <c r="T34" s="3">
        <v>2</v>
      </c>
      <c r="U34" s="40">
        <f t="shared" si="2"/>
        <v>2</v>
      </c>
      <c r="X34" s="22">
        <f t="shared" si="3"/>
        <v>20</v>
      </c>
      <c r="Y34" s="22">
        <f t="shared" si="8"/>
        <v>90.909090909090907</v>
      </c>
    </row>
    <row r="35" spans="1:25" ht="18" x14ac:dyDescent="0.35">
      <c r="A35" s="2">
        <v>30</v>
      </c>
      <c r="B35" s="16" t="s">
        <v>94</v>
      </c>
      <c r="C35" s="20" t="s">
        <v>95</v>
      </c>
      <c r="D35" s="3">
        <v>2</v>
      </c>
      <c r="E35" s="3">
        <v>2</v>
      </c>
      <c r="F35" s="36">
        <f t="shared" si="4"/>
        <v>4</v>
      </c>
      <c r="G35" s="3">
        <v>2</v>
      </c>
      <c r="H35" s="3">
        <v>0</v>
      </c>
      <c r="I35" s="36">
        <f t="shared" si="5"/>
        <v>2</v>
      </c>
      <c r="J35" s="3">
        <v>2</v>
      </c>
      <c r="K35" s="3">
        <v>2</v>
      </c>
      <c r="L35" s="36">
        <f t="shared" si="6"/>
        <v>4</v>
      </c>
      <c r="M35" s="3">
        <v>2</v>
      </c>
      <c r="N35" s="38">
        <f t="shared" si="7"/>
        <v>2</v>
      </c>
      <c r="O35" s="3">
        <v>2</v>
      </c>
      <c r="P35" s="3">
        <v>2</v>
      </c>
      <c r="Q35" s="40">
        <f t="shared" si="0"/>
        <v>4</v>
      </c>
      <c r="R35" s="3">
        <v>2</v>
      </c>
      <c r="S35" s="40">
        <f t="shared" si="1"/>
        <v>2</v>
      </c>
      <c r="T35" s="3">
        <v>2</v>
      </c>
      <c r="U35" s="40">
        <f t="shared" si="2"/>
        <v>2</v>
      </c>
      <c r="X35" s="22">
        <f t="shared" si="3"/>
        <v>20</v>
      </c>
      <c r="Y35" s="22">
        <f t="shared" si="8"/>
        <v>90.909090909090907</v>
      </c>
    </row>
    <row r="36" spans="1:25" ht="18" x14ac:dyDescent="0.35">
      <c r="A36" s="2">
        <v>31</v>
      </c>
      <c r="B36" s="16" t="s">
        <v>96</v>
      </c>
      <c r="C36" s="20" t="s">
        <v>97</v>
      </c>
      <c r="D36" s="3">
        <v>2</v>
      </c>
      <c r="E36" s="3">
        <v>2</v>
      </c>
      <c r="F36" s="36">
        <f t="shared" si="4"/>
        <v>4</v>
      </c>
      <c r="G36" s="3">
        <v>2</v>
      </c>
      <c r="H36" s="3">
        <v>2</v>
      </c>
      <c r="I36" s="36">
        <f t="shared" si="5"/>
        <v>4</v>
      </c>
      <c r="J36" s="3">
        <v>2</v>
      </c>
      <c r="K36" s="3">
        <v>2</v>
      </c>
      <c r="L36" s="36">
        <f t="shared" si="6"/>
        <v>4</v>
      </c>
      <c r="M36" s="3">
        <v>2</v>
      </c>
      <c r="N36" s="38">
        <f t="shared" si="7"/>
        <v>2</v>
      </c>
      <c r="O36" s="3">
        <v>2</v>
      </c>
      <c r="P36" s="3">
        <v>0</v>
      </c>
      <c r="Q36" s="40">
        <f t="shared" si="0"/>
        <v>2</v>
      </c>
      <c r="R36" s="3">
        <v>2</v>
      </c>
      <c r="S36" s="40">
        <f t="shared" si="1"/>
        <v>2</v>
      </c>
      <c r="T36" s="3">
        <v>2</v>
      </c>
      <c r="U36" s="40">
        <f t="shared" si="2"/>
        <v>2</v>
      </c>
      <c r="X36" s="22">
        <f t="shared" si="3"/>
        <v>20</v>
      </c>
      <c r="Y36" s="22">
        <f t="shared" si="8"/>
        <v>90.909090909090907</v>
      </c>
    </row>
    <row r="37" spans="1:25" ht="18" x14ac:dyDescent="0.35">
      <c r="A37" s="2">
        <v>32</v>
      </c>
      <c r="B37" s="16" t="s">
        <v>98</v>
      </c>
      <c r="C37" s="20" t="s">
        <v>99</v>
      </c>
      <c r="D37" s="3">
        <v>2</v>
      </c>
      <c r="E37" s="3">
        <v>2</v>
      </c>
      <c r="F37" s="36">
        <f t="shared" si="4"/>
        <v>4</v>
      </c>
      <c r="G37" s="3">
        <v>0</v>
      </c>
      <c r="H37" s="3">
        <v>2</v>
      </c>
      <c r="I37" s="36">
        <f t="shared" si="5"/>
        <v>2</v>
      </c>
      <c r="J37" s="3">
        <v>2</v>
      </c>
      <c r="K37" s="3">
        <v>2</v>
      </c>
      <c r="L37" s="36">
        <f t="shared" si="6"/>
        <v>4</v>
      </c>
      <c r="M37" s="3">
        <v>2</v>
      </c>
      <c r="N37" s="38">
        <f t="shared" si="7"/>
        <v>2</v>
      </c>
      <c r="O37" s="3">
        <v>2</v>
      </c>
      <c r="P37" s="3">
        <v>2</v>
      </c>
      <c r="Q37" s="40">
        <f t="shared" ref="Q37:Q68" si="9">SUM(O37:P37)</f>
        <v>4</v>
      </c>
      <c r="R37" s="3">
        <v>2</v>
      </c>
      <c r="S37" s="40">
        <f t="shared" ref="S37:S68" si="10">SUM(R37:R37)</f>
        <v>2</v>
      </c>
      <c r="T37" s="3">
        <v>2</v>
      </c>
      <c r="U37" s="40">
        <f t="shared" ref="U37:U68" si="11">SUM(T37:T37)</f>
        <v>2</v>
      </c>
      <c r="X37" s="22">
        <f t="shared" ref="X37:X70" si="12">F37+I37+L37+N37+Q37+S37+U37</f>
        <v>20</v>
      </c>
      <c r="Y37" s="22">
        <f t="shared" si="8"/>
        <v>90.909090909090907</v>
      </c>
    </row>
    <row r="38" spans="1:25" ht="18" x14ac:dyDescent="0.35">
      <c r="A38" s="2">
        <v>33</v>
      </c>
      <c r="B38" s="16" t="s">
        <v>100</v>
      </c>
      <c r="C38" s="20" t="s">
        <v>101</v>
      </c>
      <c r="D38" s="3">
        <v>2</v>
      </c>
      <c r="E38" s="3">
        <v>2</v>
      </c>
      <c r="F38" s="36">
        <f t="shared" si="4"/>
        <v>4</v>
      </c>
      <c r="G38" s="3">
        <v>2</v>
      </c>
      <c r="H38" s="3">
        <v>2</v>
      </c>
      <c r="I38" s="36">
        <f t="shared" si="5"/>
        <v>4</v>
      </c>
      <c r="J38" s="3">
        <v>0</v>
      </c>
      <c r="K38" s="3">
        <v>2</v>
      </c>
      <c r="L38" s="36">
        <f t="shared" si="6"/>
        <v>2</v>
      </c>
      <c r="M38" s="3">
        <v>2</v>
      </c>
      <c r="N38" s="38">
        <f t="shared" si="7"/>
        <v>2</v>
      </c>
      <c r="O38" s="3">
        <v>2</v>
      </c>
      <c r="P38" s="3">
        <v>2</v>
      </c>
      <c r="Q38" s="40">
        <f t="shared" si="9"/>
        <v>4</v>
      </c>
      <c r="R38" s="3">
        <v>2</v>
      </c>
      <c r="S38" s="40">
        <f t="shared" si="10"/>
        <v>2</v>
      </c>
      <c r="T38" s="3">
        <v>2</v>
      </c>
      <c r="U38" s="40">
        <f t="shared" si="11"/>
        <v>2</v>
      </c>
      <c r="X38" s="22">
        <f t="shared" si="12"/>
        <v>20</v>
      </c>
      <c r="Y38" s="22">
        <f t="shared" si="8"/>
        <v>90.909090909090907</v>
      </c>
    </row>
    <row r="39" spans="1:25" ht="18" x14ac:dyDescent="0.35">
      <c r="A39" s="2">
        <v>34</v>
      </c>
      <c r="B39" s="16" t="s">
        <v>102</v>
      </c>
      <c r="C39" s="20" t="s">
        <v>103</v>
      </c>
      <c r="D39" s="3">
        <v>2</v>
      </c>
      <c r="E39" s="3">
        <v>2</v>
      </c>
      <c r="F39" s="36">
        <f t="shared" si="4"/>
        <v>4</v>
      </c>
      <c r="G39" s="3">
        <v>2</v>
      </c>
      <c r="H39" s="3">
        <v>2</v>
      </c>
      <c r="I39" s="36">
        <f t="shared" si="5"/>
        <v>4</v>
      </c>
      <c r="J39" s="3">
        <v>2</v>
      </c>
      <c r="K39" s="3">
        <v>2</v>
      </c>
      <c r="L39" s="36">
        <f t="shared" si="6"/>
        <v>4</v>
      </c>
      <c r="M39" s="3">
        <v>0</v>
      </c>
      <c r="N39" s="38">
        <f t="shared" si="7"/>
        <v>0</v>
      </c>
      <c r="O39" s="3">
        <v>2</v>
      </c>
      <c r="P39" s="3">
        <v>2</v>
      </c>
      <c r="Q39" s="40">
        <f t="shared" si="9"/>
        <v>4</v>
      </c>
      <c r="R39" s="3">
        <v>2</v>
      </c>
      <c r="S39" s="40">
        <f t="shared" si="10"/>
        <v>2</v>
      </c>
      <c r="T39" s="3">
        <v>2</v>
      </c>
      <c r="U39" s="40">
        <f t="shared" si="11"/>
        <v>2</v>
      </c>
      <c r="X39" s="22">
        <f t="shared" si="12"/>
        <v>20</v>
      </c>
      <c r="Y39" s="22">
        <f t="shared" si="8"/>
        <v>90.909090909090907</v>
      </c>
    </row>
    <row r="40" spans="1:25" ht="18" x14ac:dyDescent="0.35">
      <c r="A40" s="2">
        <v>35</v>
      </c>
      <c r="B40" s="16" t="s">
        <v>104</v>
      </c>
      <c r="C40" s="20" t="s">
        <v>105</v>
      </c>
      <c r="D40" s="3">
        <v>2</v>
      </c>
      <c r="E40" s="3">
        <v>2</v>
      </c>
      <c r="F40" s="36">
        <f t="shared" si="4"/>
        <v>4</v>
      </c>
      <c r="G40" s="3">
        <v>2</v>
      </c>
      <c r="H40" s="3">
        <v>2</v>
      </c>
      <c r="I40" s="36">
        <f t="shared" si="5"/>
        <v>4</v>
      </c>
      <c r="J40" s="3">
        <v>2</v>
      </c>
      <c r="K40" s="3">
        <v>0</v>
      </c>
      <c r="L40" s="36">
        <f t="shared" si="6"/>
        <v>2</v>
      </c>
      <c r="M40" s="3">
        <v>2</v>
      </c>
      <c r="N40" s="38">
        <f t="shared" si="7"/>
        <v>2</v>
      </c>
      <c r="O40" s="3">
        <v>2</v>
      </c>
      <c r="P40" s="3">
        <v>2</v>
      </c>
      <c r="Q40" s="40">
        <f t="shared" si="9"/>
        <v>4</v>
      </c>
      <c r="R40" s="3">
        <v>2</v>
      </c>
      <c r="S40" s="40">
        <f t="shared" si="10"/>
        <v>2</v>
      </c>
      <c r="T40" s="3">
        <v>2</v>
      </c>
      <c r="U40" s="40">
        <f t="shared" si="11"/>
        <v>2</v>
      </c>
      <c r="X40" s="22">
        <f t="shared" si="12"/>
        <v>20</v>
      </c>
      <c r="Y40" s="22">
        <f t="shared" si="8"/>
        <v>90.909090909090907</v>
      </c>
    </row>
    <row r="41" spans="1:25" ht="18" x14ac:dyDescent="0.35">
      <c r="A41" s="2">
        <v>36</v>
      </c>
      <c r="B41" s="16" t="s">
        <v>106</v>
      </c>
      <c r="C41" s="20" t="s">
        <v>107</v>
      </c>
      <c r="D41" s="3">
        <v>2</v>
      </c>
      <c r="E41" s="3">
        <v>2</v>
      </c>
      <c r="F41" s="36">
        <f t="shared" si="4"/>
        <v>4</v>
      </c>
      <c r="G41" s="3">
        <v>2</v>
      </c>
      <c r="H41" s="3">
        <v>0</v>
      </c>
      <c r="I41" s="36">
        <f t="shared" si="5"/>
        <v>2</v>
      </c>
      <c r="J41" s="3">
        <v>2</v>
      </c>
      <c r="K41" s="3">
        <v>2</v>
      </c>
      <c r="L41" s="36">
        <f t="shared" si="6"/>
        <v>4</v>
      </c>
      <c r="M41" s="3">
        <v>2</v>
      </c>
      <c r="N41" s="38">
        <f t="shared" si="7"/>
        <v>2</v>
      </c>
      <c r="O41" s="3">
        <v>2</v>
      </c>
      <c r="P41" s="3">
        <v>2</v>
      </c>
      <c r="Q41" s="40">
        <f t="shared" si="9"/>
        <v>4</v>
      </c>
      <c r="R41" s="3">
        <v>2</v>
      </c>
      <c r="S41" s="40">
        <f t="shared" si="10"/>
        <v>2</v>
      </c>
      <c r="T41" s="3">
        <v>2</v>
      </c>
      <c r="U41" s="40">
        <f t="shared" si="11"/>
        <v>2</v>
      </c>
      <c r="X41" s="22">
        <f t="shared" si="12"/>
        <v>20</v>
      </c>
      <c r="Y41" s="22">
        <f t="shared" si="8"/>
        <v>90.909090909090907</v>
      </c>
    </row>
    <row r="42" spans="1:25" ht="18" x14ac:dyDescent="0.35">
      <c r="A42" s="2">
        <v>37</v>
      </c>
      <c r="B42" s="16" t="s">
        <v>108</v>
      </c>
      <c r="C42" s="20" t="s">
        <v>109</v>
      </c>
      <c r="D42" s="3">
        <v>2</v>
      </c>
      <c r="E42" s="3">
        <v>2</v>
      </c>
      <c r="F42" s="36">
        <f t="shared" si="4"/>
        <v>4</v>
      </c>
      <c r="G42" s="3">
        <v>2</v>
      </c>
      <c r="H42" s="3">
        <v>2</v>
      </c>
      <c r="I42" s="36">
        <f t="shared" si="5"/>
        <v>4</v>
      </c>
      <c r="J42" s="3">
        <v>2</v>
      </c>
      <c r="K42" s="3">
        <v>2</v>
      </c>
      <c r="L42" s="36">
        <f t="shared" si="6"/>
        <v>4</v>
      </c>
      <c r="M42" s="3">
        <v>2</v>
      </c>
      <c r="N42" s="38">
        <f t="shared" si="7"/>
        <v>2</v>
      </c>
      <c r="O42" s="3">
        <v>2</v>
      </c>
      <c r="P42" s="3">
        <v>0</v>
      </c>
      <c r="Q42" s="40">
        <f t="shared" si="9"/>
        <v>2</v>
      </c>
      <c r="R42" s="3">
        <v>0</v>
      </c>
      <c r="S42" s="40">
        <f t="shared" si="10"/>
        <v>0</v>
      </c>
      <c r="T42" s="3">
        <v>2</v>
      </c>
      <c r="U42" s="40">
        <f t="shared" si="11"/>
        <v>2</v>
      </c>
      <c r="X42" s="22">
        <f t="shared" si="12"/>
        <v>18</v>
      </c>
      <c r="Y42" s="22">
        <f t="shared" si="8"/>
        <v>81.818181818181827</v>
      </c>
    </row>
    <row r="43" spans="1:25" ht="18" x14ac:dyDescent="0.35">
      <c r="A43" s="2">
        <v>38</v>
      </c>
      <c r="B43" s="16" t="s">
        <v>110</v>
      </c>
      <c r="C43" s="20" t="s">
        <v>111</v>
      </c>
      <c r="D43" s="3">
        <v>2</v>
      </c>
      <c r="E43" s="3">
        <v>2</v>
      </c>
      <c r="F43" s="36">
        <f t="shared" si="4"/>
        <v>4</v>
      </c>
      <c r="G43" s="3">
        <v>0</v>
      </c>
      <c r="H43" s="3">
        <v>2</v>
      </c>
      <c r="I43" s="36">
        <f t="shared" si="5"/>
        <v>2</v>
      </c>
      <c r="J43" s="3">
        <v>2</v>
      </c>
      <c r="K43" s="3">
        <v>2</v>
      </c>
      <c r="L43" s="36">
        <f t="shared" si="6"/>
        <v>4</v>
      </c>
      <c r="M43" s="3">
        <v>2</v>
      </c>
      <c r="N43" s="38">
        <f t="shared" si="7"/>
        <v>2</v>
      </c>
      <c r="O43" s="3">
        <v>2</v>
      </c>
      <c r="P43" s="3">
        <v>2</v>
      </c>
      <c r="Q43" s="40">
        <f t="shared" si="9"/>
        <v>4</v>
      </c>
      <c r="R43" s="3">
        <v>2</v>
      </c>
      <c r="S43" s="40">
        <f t="shared" si="10"/>
        <v>2</v>
      </c>
      <c r="T43" s="3">
        <v>2</v>
      </c>
      <c r="U43" s="40">
        <f t="shared" si="11"/>
        <v>2</v>
      </c>
      <c r="X43" s="22">
        <f t="shared" si="12"/>
        <v>20</v>
      </c>
      <c r="Y43" s="22">
        <f t="shared" si="8"/>
        <v>90.909090909090907</v>
      </c>
    </row>
    <row r="44" spans="1:25" ht="18" x14ac:dyDescent="0.35">
      <c r="A44" s="2">
        <v>39</v>
      </c>
      <c r="B44" s="16" t="s">
        <v>112</v>
      </c>
      <c r="C44" s="20" t="s">
        <v>113</v>
      </c>
      <c r="D44" s="3">
        <v>2</v>
      </c>
      <c r="E44" s="3">
        <v>2</v>
      </c>
      <c r="F44" s="36">
        <f t="shared" si="4"/>
        <v>4</v>
      </c>
      <c r="G44" s="3">
        <v>2</v>
      </c>
      <c r="H44" s="3">
        <v>2</v>
      </c>
      <c r="I44" s="36">
        <f t="shared" si="5"/>
        <v>4</v>
      </c>
      <c r="J44" s="3">
        <v>0</v>
      </c>
      <c r="K44" s="3">
        <v>2</v>
      </c>
      <c r="L44" s="36">
        <f t="shared" si="6"/>
        <v>2</v>
      </c>
      <c r="M44" s="3">
        <v>2</v>
      </c>
      <c r="N44" s="38">
        <f t="shared" si="7"/>
        <v>2</v>
      </c>
      <c r="O44" s="3">
        <v>2</v>
      </c>
      <c r="P44" s="3">
        <v>2</v>
      </c>
      <c r="Q44" s="40">
        <f t="shared" si="9"/>
        <v>4</v>
      </c>
      <c r="R44" s="3">
        <v>2</v>
      </c>
      <c r="S44" s="40">
        <f t="shared" si="10"/>
        <v>2</v>
      </c>
      <c r="T44" s="3">
        <v>2</v>
      </c>
      <c r="U44" s="40">
        <f t="shared" si="11"/>
        <v>2</v>
      </c>
      <c r="X44" s="22">
        <f t="shared" si="12"/>
        <v>20</v>
      </c>
      <c r="Y44" s="22">
        <f t="shared" si="8"/>
        <v>90.909090909090907</v>
      </c>
    </row>
    <row r="45" spans="1:25" ht="18" x14ac:dyDescent="0.35">
      <c r="A45" s="2">
        <v>40</v>
      </c>
      <c r="B45" s="16" t="s">
        <v>114</v>
      </c>
      <c r="C45" s="20" t="s">
        <v>115</v>
      </c>
      <c r="D45" s="3">
        <v>2</v>
      </c>
      <c r="E45" s="3">
        <v>2</v>
      </c>
      <c r="F45" s="36">
        <f t="shared" si="4"/>
        <v>4</v>
      </c>
      <c r="G45" s="3">
        <v>2</v>
      </c>
      <c r="H45" s="3">
        <v>2</v>
      </c>
      <c r="I45" s="36">
        <f t="shared" si="5"/>
        <v>4</v>
      </c>
      <c r="J45" s="3">
        <v>2</v>
      </c>
      <c r="K45" s="3">
        <v>2</v>
      </c>
      <c r="L45" s="36">
        <f t="shared" si="6"/>
        <v>4</v>
      </c>
      <c r="M45" s="3">
        <v>0</v>
      </c>
      <c r="N45" s="38">
        <f t="shared" si="7"/>
        <v>0</v>
      </c>
      <c r="O45" s="3">
        <v>2</v>
      </c>
      <c r="P45" s="3">
        <v>2</v>
      </c>
      <c r="Q45" s="40">
        <f t="shared" si="9"/>
        <v>4</v>
      </c>
      <c r="R45" s="3">
        <v>2</v>
      </c>
      <c r="S45" s="40">
        <f t="shared" si="10"/>
        <v>2</v>
      </c>
      <c r="T45" s="3">
        <v>2</v>
      </c>
      <c r="U45" s="40">
        <f t="shared" si="11"/>
        <v>2</v>
      </c>
      <c r="X45" s="22">
        <f t="shared" si="12"/>
        <v>20</v>
      </c>
      <c r="Y45" s="22">
        <f t="shared" si="8"/>
        <v>90.909090909090907</v>
      </c>
    </row>
    <row r="46" spans="1:25" ht="18" x14ac:dyDescent="0.35">
      <c r="A46" s="2">
        <v>41</v>
      </c>
      <c r="B46" s="16" t="s">
        <v>116</v>
      </c>
      <c r="C46" s="20" t="s">
        <v>117</v>
      </c>
      <c r="D46" s="3">
        <v>2</v>
      </c>
      <c r="E46" s="3">
        <v>2</v>
      </c>
      <c r="F46" s="36">
        <f t="shared" si="4"/>
        <v>4</v>
      </c>
      <c r="G46" s="3">
        <v>2</v>
      </c>
      <c r="H46" s="3">
        <v>2</v>
      </c>
      <c r="I46" s="36">
        <f t="shared" si="5"/>
        <v>4</v>
      </c>
      <c r="J46" s="3">
        <v>2</v>
      </c>
      <c r="K46" s="3">
        <v>0</v>
      </c>
      <c r="L46" s="36">
        <f t="shared" si="6"/>
        <v>2</v>
      </c>
      <c r="M46" s="3">
        <v>2</v>
      </c>
      <c r="N46" s="38">
        <f t="shared" si="7"/>
        <v>2</v>
      </c>
      <c r="O46" s="3">
        <v>2</v>
      </c>
      <c r="P46" s="3">
        <v>2</v>
      </c>
      <c r="Q46" s="40">
        <f t="shared" si="9"/>
        <v>4</v>
      </c>
      <c r="R46" s="3">
        <v>2</v>
      </c>
      <c r="S46" s="40">
        <f t="shared" si="10"/>
        <v>2</v>
      </c>
      <c r="T46" s="3">
        <v>2</v>
      </c>
      <c r="U46" s="40">
        <f t="shared" si="11"/>
        <v>2</v>
      </c>
      <c r="X46" s="22">
        <f t="shared" si="12"/>
        <v>20</v>
      </c>
      <c r="Y46" s="22">
        <f t="shared" si="8"/>
        <v>90.909090909090907</v>
      </c>
    </row>
    <row r="47" spans="1:25" ht="18" x14ac:dyDescent="0.35">
      <c r="A47" s="2">
        <v>42</v>
      </c>
      <c r="B47" s="16" t="s">
        <v>118</v>
      </c>
      <c r="C47" s="20" t="s">
        <v>119</v>
      </c>
      <c r="D47" s="3">
        <v>2</v>
      </c>
      <c r="E47" s="3">
        <v>2</v>
      </c>
      <c r="F47" s="36">
        <f t="shared" si="4"/>
        <v>4</v>
      </c>
      <c r="G47" s="3">
        <v>2</v>
      </c>
      <c r="H47" s="3">
        <v>0</v>
      </c>
      <c r="I47" s="36">
        <f t="shared" si="5"/>
        <v>2</v>
      </c>
      <c r="J47" s="3">
        <v>2</v>
      </c>
      <c r="K47" s="3">
        <v>2</v>
      </c>
      <c r="L47" s="36">
        <f t="shared" si="6"/>
        <v>4</v>
      </c>
      <c r="M47" s="3">
        <v>2</v>
      </c>
      <c r="N47" s="38">
        <f t="shared" si="7"/>
        <v>2</v>
      </c>
      <c r="O47" s="3">
        <v>2</v>
      </c>
      <c r="P47" s="3">
        <v>2</v>
      </c>
      <c r="Q47" s="40">
        <f t="shared" si="9"/>
        <v>4</v>
      </c>
      <c r="R47" s="3">
        <v>2</v>
      </c>
      <c r="S47" s="40">
        <f t="shared" si="10"/>
        <v>2</v>
      </c>
      <c r="T47" s="3">
        <v>2</v>
      </c>
      <c r="U47" s="40">
        <f t="shared" si="11"/>
        <v>2</v>
      </c>
      <c r="X47" s="22">
        <f t="shared" si="12"/>
        <v>20</v>
      </c>
      <c r="Y47" s="22">
        <f t="shared" si="8"/>
        <v>90.909090909090907</v>
      </c>
    </row>
    <row r="48" spans="1:25" ht="18" x14ac:dyDescent="0.35">
      <c r="A48" s="2">
        <v>43</v>
      </c>
      <c r="B48" s="16" t="s">
        <v>120</v>
      </c>
      <c r="C48" s="20" t="s">
        <v>121</v>
      </c>
      <c r="D48" s="3">
        <v>2</v>
      </c>
      <c r="E48" s="3">
        <v>2</v>
      </c>
      <c r="F48" s="36">
        <f t="shared" si="4"/>
        <v>4</v>
      </c>
      <c r="G48" s="3">
        <v>2</v>
      </c>
      <c r="H48" s="3">
        <v>2</v>
      </c>
      <c r="I48" s="36">
        <f t="shared" si="5"/>
        <v>4</v>
      </c>
      <c r="J48" s="3">
        <v>2</v>
      </c>
      <c r="K48" s="3">
        <v>2</v>
      </c>
      <c r="L48" s="36">
        <f t="shared" si="6"/>
        <v>4</v>
      </c>
      <c r="M48" s="3">
        <v>2</v>
      </c>
      <c r="N48" s="38">
        <f t="shared" si="7"/>
        <v>2</v>
      </c>
      <c r="O48" s="3">
        <v>0</v>
      </c>
      <c r="P48" s="3">
        <v>2</v>
      </c>
      <c r="Q48" s="40">
        <f t="shared" si="9"/>
        <v>2</v>
      </c>
      <c r="R48" s="3">
        <v>2</v>
      </c>
      <c r="S48" s="40">
        <f t="shared" si="10"/>
        <v>2</v>
      </c>
      <c r="T48" s="3">
        <v>0</v>
      </c>
      <c r="U48" s="40">
        <f t="shared" si="11"/>
        <v>0</v>
      </c>
      <c r="X48" s="22">
        <f t="shared" si="12"/>
        <v>18</v>
      </c>
      <c r="Y48" s="22">
        <f t="shared" si="8"/>
        <v>81.818181818181827</v>
      </c>
    </row>
    <row r="49" spans="1:25" ht="18" x14ac:dyDescent="0.35">
      <c r="A49" s="2">
        <v>44</v>
      </c>
      <c r="B49" s="16" t="s">
        <v>122</v>
      </c>
      <c r="C49" s="20" t="s">
        <v>123</v>
      </c>
      <c r="D49" s="3">
        <v>2</v>
      </c>
      <c r="E49" s="3">
        <v>2</v>
      </c>
      <c r="F49" s="36">
        <f t="shared" si="4"/>
        <v>4</v>
      </c>
      <c r="G49" s="3">
        <v>0</v>
      </c>
      <c r="H49" s="3">
        <v>2</v>
      </c>
      <c r="I49" s="36">
        <f t="shared" si="5"/>
        <v>2</v>
      </c>
      <c r="J49" s="3">
        <v>2</v>
      </c>
      <c r="K49" s="3">
        <v>2</v>
      </c>
      <c r="L49" s="36">
        <f t="shared" si="6"/>
        <v>4</v>
      </c>
      <c r="M49" s="3">
        <v>2</v>
      </c>
      <c r="N49" s="38">
        <f t="shared" si="7"/>
        <v>2</v>
      </c>
      <c r="O49" s="3">
        <v>2</v>
      </c>
      <c r="P49" s="3">
        <v>2</v>
      </c>
      <c r="Q49" s="40">
        <f t="shared" si="9"/>
        <v>4</v>
      </c>
      <c r="R49" s="3">
        <v>2</v>
      </c>
      <c r="S49" s="40">
        <f t="shared" si="10"/>
        <v>2</v>
      </c>
      <c r="T49" s="3">
        <v>2</v>
      </c>
      <c r="U49" s="40">
        <f t="shared" si="11"/>
        <v>2</v>
      </c>
      <c r="X49" s="22">
        <f t="shared" si="12"/>
        <v>20</v>
      </c>
      <c r="Y49" s="22">
        <f t="shared" si="8"/>
        <v>90.909090909090907</v>
      </c>
    </row>
    <row r="50" spans="1:25" ht="18" x14ac:dyDescent="0.35">
      <c r="A50" s="2">
        <v>45</v>
      </c>
      <c r="B50" s="16" t="s">
        <v>124</v>
      </c>
      <c r="C50" s="20" t="s">
        <v>125</v>
      </c>
      <c r="D50" s="3">
        <v>2</v>
      </c>
      <c r="E50" s="3">
        <v>2</v>
      </c>
      <c r="F50" s="36">
        <f t="shared" si="4"/>
        <v>4</v>
      </c>
      <c r="G50" s="3">
        <v>2</v>
      </c>
      <c r="H50" s="3">
        <v>2</v>
      </c>
      <c r="I50" s="36">
        <f t="shared" si="5"/>
        <v>4</v>
      </c>
      <c r="J50" s="3">
        <v>0</v>
      </c>
      <c r="K50" s="3">
        <v>2</v>
      </c>
      <c r="L50" s="36">
        <f t="shared" si="6"/>
        <v>2</v>
      </c>
      <c r="M50" s="3">
        <v>2</v>
      </c>
      <c r="N50" s="38">
        <f t="shared" si="7"/>
        <v>2</v>
      </c>
      <c r="O50" s="3">
        <v>2</v>
      </c>
      <c r="P50" s="3">
        <v>2</v>
      </c>
      <c r="Q50" s="40">
        <f t="shared" si="9"/>
        <v>4</v>
      </c>
      <c r="R50" s="3">
        <v>2</v>
      </c>
      <c r="S50" s="40">
        <f t="shared" si="10"/>
        <v>2</v>
      </c>
      <c r="T50" s="3">
        <v>2</v>
      </c>
      <c r="U50" s="40">
        <f t="shared" si="11"/>
        <v>2</v>
      </c>
      <c r="X50" s="22">
        <f t="shared" si="12"/>
        <v>20</v>
      </c>
      <c r="Y50" s="22">
        <f t="shared" si="8"/>
        <v>90.909090909090907</v>
      </c>
    </row>
    <row r="51" spans="1:25" ht="18" x14ac:dyDescent="0.35">
      <c r="A51" s="2">
        <v>46</v>
      </c>
      <c r="B51" s="16" t="s">
        <v>126</v>
      </c>
      <c r="C51" s="20" t="s">
        <v>127</v>
      </c>
      <c r="D51" s="3">
        <v>2</v>
      </c>
      <c r="E51" s="3">
        <v>2</v>
      </c>
      <c r="F51" s="36">
        <f t="shared" si="4"/>
        <v>4</v>
      </c>
      <c r="G51" s="3">
        <v>2</v>
      </c>
      <c r="H51" s="3">
        <v>2</v>
      </c>
      <c r="I51" s="36">
        <f t="shared" si="5"/>
        <v>4</v>
      </c>
      <c r="J51" s="3">
        <v>2</v>
      </c>
      <c r="K51" s="3">
        <v>2</v>
      </c>
      <c r="L51" s="36">
        <f t="shared" si="6"/>
        <v>4</v>
      </c>
      <c r="M51" s="3">
        <v>0</v>
      </c>
      <c r="N51" s="38">
        <f t="shared" si="7"/>
        <v>0</v>
      </c>
      <c r="O51" s="3">
        <v>2</v>
      </c>
      <c r="P51" s="3">
        <v>2</v>
      </c>
      <c r="Q51" s="40">
        <f t="shared" si="9"/>
        <v>4</v>
      </c>
      <c r="R51" s="3">
        <v>2</v>
      </c>
      <c r="S51" s="40">
        <f t="shared" si="10"/>
        <v>2</v>
      </c>
      <c r="T51" s="3">
        <v>2</v>
      </c>
      <c r="U51" s="40">
        <f t="shared" si="11"/>
        <v>2</v>
      </c>
      <c r="X51" s="22">
        <f t="shared" si="12"/>
        <v>20</v>
      </c>
      <c r="Y51" s="22">
        <f t="shared" si="8"/>
        <v>90.909090909090907</v>
      </c>
    </row>
    <row r="52" spans="1:25" ht="18" x14ac:dyDescent="0.35">
      <c r="A52" s="2">
        <v>47</v>
      </c>
      <c r="B52" s="16" t="s">
        <v>128</v>
      </c>
      <c r="C52" s="20" t="s">
        <v>129</v>
      </c>
      <c r="D52" s="3">
        <v>2</v>
      </c>
      <c r="E52" s="3">
        <v>2</v>
      </c>
      <c r="F52" s="36">
        <f t="shared" si="4"/>
        <v>4</v>
      </c>
      <c r="G52" s="3">
        <v>2</v>
      </c>
      <c r="H52" s="3">
        <v>2</v>
      </c>
      <c r="I52" s="36">
        <f t="shared" si="5"/>
        <v>4</v>
      </c>
      <c r="J52" s="3">
        <v>2</v>
      </c>
      <c r="K52" s="3">
        <v>0</v>
      </c>
      <c r="L52" s="36">
        <f t="shared" si="6"/>
        <v>2</v>
      </c>
      <c r="M52" s="3">
        <v>2</v>
      </c>
      <c r="N52" s="38">
        <f t="shared" si="7"/>
        <v>2</v>
      </c>
      <c r="O52" s="3">
        <v>2</v>
      </c>
      <c r="P52" s="3">
        <v>2</v>
      </c>
      <c r="Q52" s="40">
        <f t="shared" si="9"/>
        <v>4</v>
      </c>
      <c r="R52" s="3">
        <v>2</v>
      </c>
      <c r="S52" s="40">
        <f t="shared" si="10"/>
        <v>2</v>
      </c>
      <c r="T52" s="3">
        <v>2</v>
      </c>
      <c r="U52" s="40">
        <f t="shared" si="11"/>
        <v>2</v>
      </c>
      <c r="X52" s="22">
        <f t="shared" si="12"/>
        <v>20</v>
      </c>
      <c r="Y52" s="22">
        <f t="shared" si="8"/>
        <v>90.909090909090907</v>
      </c>
    </row>
    <row r="53" spans="1:25" ht="18" x14ac:dyDescent="0.35">
      <c r="A53" s="2">
        <v>48</v>
      </c>
      <c r="B53" s="16" t="s">
        <v>130</v>
      </c>
      <c r="C53" s="20" t="s">
        <v>131</v>
      </c>
      <c r="D53" s="3">
        <v>2</v>
      </c>
      <c r="E53" s="3">
        <v>2</v>
      </c>
      <c r="F53" s="36">
        <f t="shared" si="4"/>
        <v>4</v>
      </c>
      <c r="G53" s="3">
        <v>2</v>
      </c>
      <c r="H53" s="3">
        <v>0</v>
      </c>
      <c r="I53" s="36">
        <f t="shared" si="5"/>
        <v>2</v>
      </c>
      <c r="J53" s="3">
        <v>2</v>
      </c>
      <c r="K53" s="3">
        <v>2</v>
      </c>
      <c r="L53" s="36">
        <f t="shared" si="6"/>
        <v>4</v>
      </c>
      <c r="M53" s="3">
        <v>2</v>
      </c>
      <c r="N53" s="38">
        <f t="shared" si="7"/>
        <v>2</v>
      </c>
      <c r="O53" s="3">
        <v>2</v>
      </c>
      <c r="P53" s="3">
        <v>2</v>
      </c>
      <c r="Q53" s="40">
        <f t="shared" si="9"/>
        <v>4</v>
      </c>
      <c r="R53" s="3">
        <v>2</v>
      </c>
      <c r="S53" s="40">
        <f t="shared" si="10"/>
        <v>2</v>
      </c>
      <c r="T53" s="3">
        <v>2</v>
      </c>
      <c r="U53" s="40">
        <f t="shared" si="11"/>
        <v>2</v>
      </c>
      <c r="X53" s="22">
        <f t="shared" si="12"/>
        <v>20</v>
      </c>
      <c r="Y53" s="22">
        <f t="shared" si="8"/>
        <v>90.909090909090907</v>
      </c>
    </row>
    <row r="54" spans="1:25" ht="18" x14ac:dyDescent="0.35">
      <c r="A54" s="2">
        <v>49</v>
      </c>
      <c r="B54" s="16" t="s">
        <v>132</v>
      </c>
      <c r="C54" s="20" t="s">
        <v>133</v>
      </c>
      <c r="D54" s="3">
        <v>2</v>
      </c>
      <c r="E54" s="3">
        <v>2</v>
      </c>
      <c r="F54" s="36">
        <f t="shared" si="4"/>
        <v>4</v>
      </c>
      <c r="G54" s="3">
        <v>2</v>
      </c>
      <c r="H54" s="3">
        <v>2</v>
      </c>
      <c r="I54" s="36">
        <f t="shared" si="5"/>
        <v>4</v>
      </c>
      <c r="J54" s="3">
        <v>2</v>
      </c>
      <c r="K54" s="3">
        <v>2</v>
      </c>
      <c r="L54" s="36">
        <f t="shared" si="6"/>
        <v>4</v>
      </c>
      <c r="M54" s="3">
        <v>2</v>
      </c>
      <c r="N54" s="38">
        <f t="shared" si="7"/>
        <v>2</v>
      </c>
      <c r="O54" s="3">
        <v>2</v>
      </c>
      <c r="P54" s="3">
        <v>2</v>
      </c>
      <c r="Q54" s="40">
        <f t="shared" si="9"/>
        <v>4</v>
      </c>
      <c r="R54" s="3">
        <v>0</v>
      </c>
      <c r="S54" s="40">
        <f t="shared" si="10"/>
        <v>0</v>
      </c>
      <c r="T54" s="3">
        <v>0</v>
      </c>
      <c r="U54" s="40">
        <f t="shared" si="11"/>
        <v>0</v>
      </c>
      <c r="X54" s="22">
        <f t="shared" si="12"/>
        <v>18</v>
      </c>
      <c r="Y54" s="22">
        <f t="shared" si="8"/>
        <v>81.818181818181827</v>
      </c>
    </row>
    <row r="55" spans="1:25" ht="18" x14ac:dyDescent="0.35">
      <c r="A55" s="2">
        <v>50</v>
      </c>
      <c r="B55" s="16" t="s">
        <v>134</v>
      </c>
      <c r="C55" s="20" t="s">
        <v>135</v>
      </c>
      <c r="D55" s="3">
        <v>2</v>
      </c>
      <c r="E55" s="3">
        <v>2</v>
      </c>
      <c r="F55" s="36">
        <f t="shared" si="4"/>
        <v>4</v>
      </c>
      <c r="G55" s="3">
        <v>0</v>
      </c>
      <c r="H55" s="3">
        <v>2</v>
      </c>
      <c r="I55" s="36">
        <f t="shared" si="5"/>
        <v>2</v>
      </c>
      <c r="J55" s="3">
        <v>2</v>
      </c>
      <c r="K55" s="3">
        <v>2</v>
      </c>
      <c r="L55" s="36">
        <f t="shared" si="6"/>
        <v>4</v>
      </c>
      <c r="M55" s="3">
        <v>2</v>
      </c>
      <c r="N55" s="38">
        <f t="shared" si="7"/>
        <v>2</v>
      </c>
      <c r="O55" s="3">
        <v>2</v>
      </c>
      <c r="P55" s="3">
        <v>2</v>
      </c>
      <c r="Q55" s="40">
        <f t="shared" si="9"/>
        <v>4</v>
      </c>
      <c r="R55" s="3">
        <v>2</v>
      </c>
      <c r="S55" s="40">
        <f t="shared" si="10"/>
        <v>2</v>
      </c>
      <c r="T55" s="3">
        <v>2</v>
      </c>
      <c r="U55" s="40">
        <f t="shared" si="11"/>
        <v>2</v>
      </c>
      <c r="X55" s="22">
        <f t="shared" si="12"/>
        <v>20</v>
      </c>
      <c r="Y55" s="22">
        <f t="shared" si="8"/>
        <v>90.909090909090907</v>
      </c>
    </row>
    <row r="56" spans="1:25" ht="18" x14ac:dyDescent="0.35">
      <c r="A56" s="2">
        <v>51</v>
      </c>
      <c r="B56" s="16" t="s">
        <v>136</v>
      </c>
      <c r="C56" s="20" t="s">
        <v>137</v>
      </c>
      <c r="D56" s="3">
        <v>2</v>
      </c>
      <c r="E56" s="3">
        <v>2</v>
      </c>
      <c r="F56" s="36">
        <f t="shared" si="4"/>
        <v>4</v>
      </c>
      <c r="G56" s="3">
        <v>2</v>
      </c>
      <c r="H56" s="3">
        <v>2</v>
      </c>
      <c r="I56" s="36">
        <f t="shared" si="5"/>
        <v>4</v>
      </c>
      <c r="J56" s="3">
        <v>0</v>
      </c>
      <c r="K56" s="3">
        <v>2</v>
      </c>
      <c r="L56" s="36">
        <f t="shared" si="6"/>
        <v>2</v>
      </c>
      <c r="M56" s="3">
        <v>2</v>
      </c>
      <c r="N56" s="38">
        <f t="shared" si="7"/>
        <v>2</v>
      </c>
      <c r="O56" s="3">
        <v>2</v>
      </c>
      <c r="P56" s="3">
        <v>2</v>
      </c>
      <c r="Q56" s="40">
        <f t="shared" si="9"/>
        <v>4</v>
      </c>
      <c r="R56" s="3">
        <v>2</v>
      </c>
      <c r="S56" s="40">
        <f t="shared" si="10"/>
        <v>2</v>
      </c>
      <c r="T56" s="3">
        <v>2</v>
      </c>
      <c r="U56" s="40">
        <f t="shared" si="11"/>
        <v>2</v>
      </c>
      <c r="X56" s="22">
        <f t="shared" si="12"/>
        <v>20</v>
      </c>
      <c r="Y56" s="22">
        <f t="shared" si="8"/>
        <v>90.909090909090907</v>
      </c>
    </row>
    <row r="57" spans="1:25" ht="18" x14ac:dyDescent="0.35">
      <c r="A57" s="2">
        <v>52</v>
      </c>
      <c r="B57" s="16" t="s">
        <v>138</v>
      </c>
      <c r="C57" s="20" t="s">
        <v>139</v>
      </c>
      <c r="D57" s="3">
        <v>2</v>
      </c>
      <c r="E57" s="3">
        <v>2</v>
      </c>
      <c r="F57" s="36">
        <f t="shared" si="4"/>
        <v>4</v>
      </c>
      <c r="G57" s="3">
        <v>2</v>
      </c>
      <c r="H57" s="3">
        <v>2</v>
      </c>
      <c r="I57" s="36">
        <f t="shared" si="5"/>
        <v>4</v>
      </c>
      <c r="J57" s="3">
        <v>2</v>
      </c>
      <c r="K57" s="3">
        <v>2</v>
      </c>
      <c r="L57" s="36">
        <f t="shared" si="6"/>
        <v>4</v>
      </c>
      <c r="M57" s="3">
        <v>0</v>
      </c>
      <c r="N57" s="38">
        <f t="shared" si="7"/>
        <v>0</v>
      </c>
      <c r="O57" s="3">
        <v>2</v>
      </c>
      <c r="P57" s="3">
        <v>2</v>
      </c>
      <c r="Q57" s="40">
        <f t="shared" si="9"/>
        <v>4</v>
      </c>
      <c r="R57" s="3">
        <v>2</v>
      </c>
      <c r="S57" s="40">
        <f t="shared" si="10"/>
        <v>2</v>
      </c>
      <c r="T57" s="3">
        <v>2</v>
      </c>
      <c r="U57" s="40">
        <f t="shared" si="11"/>
        <v>2</v>
      </c>
      <c r="X57" s="22">
        <f t="shared" si="12"/>
        <v>20</v>
      </c>
      <c r="Y57" s="22">
        <f t="shared" si="8"/>
        <v>90.909090909090907</v>
      </c>
    </row>
    <row r="58" spans="1:25" ht="18" x14ac:dyDescent="0.35">
      <c r="A58" s="2">
        <v>53</v>
      </c>
      <c r="B58" s="16" t="s">
        <v>140</v>
      </c>
      <c r="C58" s="20" t="s">
        <v>141</v>
      </c>
      <c r="D58" s="3">
        <v>2</v>
      </c>
      <c r="E58" s="3">
        <v>2</v>
      </c>
      <c r="F58" s="36">
        <f t="shared" si="4"/>
        <v>4</v>
      </c>
      <c r="G58" s="3">
        <v>2</v>
      </c>
      <c r="H58" s="3">
        <v>2</v>
      </c>
      <c r="I58" s="36">
        <f t="shared" si="5"/>
        <v>4</v>
      </c>
      <c r="J58" s="3">
        <v>2</v>
      </c>
      <c r="K58" s="3">
        <v>0</v>
      </c>
      <c r="L58" s="36">
        <f t="shared" si="6"/>
        <v>2</v>
      </c>
      <c r="M58" s="3">
        <v>2</v>
      </c>
      <c r="N58" s="38">
        <f t="shared" si="7"/>
        <v>2</v>
      </c>
      <c r="O58" s="3">
        <v>2</v>
      </c>
      <c r="P58" s="3">
        <v>2</v>
      </c>
      <c r="Q58" s="40">
        <f t="shared" si="9"/>
        <v>4</v>
      </c>
      <c r="R58" s="3">
        <v>2</v>
      </c>
      <c r="S58" s="40">
        <f t="shared" si="10"/>
        <v>2</v>
      </c>
      <c r="T58" s="3">
        <v>2</v>
      </c>
      <c r="U58" s="40">
        <f t="shared" si="11"/>
        <v>2</v>
      </c>
      <c r="X58" s="22">
        <f t="shared" si="12"/>
        <v>20</v>
      </c>
      <c r="Y58" s="22">
        <f t="shared" si="8"/>
        <v>90.909090909090907</v>
      </c>
    </row>
    <row r="59" spans="1:25" ht="18" x14ac:dyDescent="0.35">
      <c r="A59" s="2">
        <v>54</v>
      </c>
      <c r="B59" s="16" t="s">
        <v>142</v>
      </c>
      <c r="C59" s="20" t="s">
        <v>143</v>
      </c>
      <c r="D59" s="3">
        <v>2</v>
      </c>
      <c r="E59" s="3">
        <v>2</v>
      </c>
      <c r="F59" s="36">
        <f t="shared" si="4"/>
        <v>4</v>
      </c>
      <c r="G59" s="3">
        <v>2</v>
      </c>
      <c r="H59" s="3">
        <v>0</v>
      </c>
      <c r="I59" s="36">
        <f t="shared" si="5"/>
        <v>2</v>
      </c>
      <c r="J59" s="3">
        <v>2</v>
      </c>
      <c r="K59" s="3">
        <v>2</v>
      </c>
      <c r="L59" s="36">
        <f t="shared" si="6"/>
        <v>4</v>
      </c>
      <c r="M59" s="3">
        <v>2</v>
      </c>
      <c r="N59" s="38">
        <f t="shared" si="7"/>
        <v>2</v>
      </c>
      <c r="O59" s="3">
        <v>2</v>
      </c>
      <c r="P59" s="3">
        <v>2</v>
      </c>
      <c r="Q59" s="40">
        <f t="shared" si="9"/>
        <v>4</v>
      </c>
      <c r="R59" s="3">
        <v>2</v>
      </c>
      <c r="S59" s="40">
        <f t="shared" si="10"/>
        <v>2</v>
      </c>
      <c r="T59" s="3">
        <v>2</v>
      </c>
      <c r="U59" s="40">
        <f t="shared" si="11"/>
        <v>2</v>
      </c>
      <c r="X59" s="22">
        <f t="shared" si="12"/>
        <v>20</v>
      </c>
      <c r="Y59" s="22">
        <f t="shared" si="8"/>
        <v>90.909090909090907</v>
      </c>
    </row>
    <row r="60" spans="1:25" ht="18" x14ac:dyDescent="0.35">
      <c r="A60" s="2">
        <v>55</v>
      </c>
      <c r="B60" s="16" t="s">
        <v>144</v>
      </c>
      <c r="C60" s="20" t="s">
        <v>145</v>
      </c>
      <c r="D60" s="3">
        <v>2</v>
      </c>
      <c r="E60" s="3">
        <v>2</v>
      </c>
      <c r="F60" s="36">
        <f t="shared" si="4"/>
        <v>4</v>
      </c>
      <c r="G60" s="3">
        <v>2</v>
      </c>
      <c r="H60" s="3">
        <v>2</v>
      </c>
      <c r="I60" s="36">
        <f t="shared" si="5"/>
        <v>4</v>
      </c>
      <c r="J60" s="3">
        <v>2</v>
      </c>
      <c r="K60" s="3">
        <v>2</v>
      </c>
      <c r="L60" s="36">
        <f t="shared" si="6"/>
        <v>4</v>
      </c>
      <c r="M60" s="3">
        <v>2</v>
      </c>
      <c r="N60" s="38">
        <f t="shared" si="7"/>
        <v>2</v>
      </c>
      <c r="O60" s="3">
        <v>0</v>
      </c>
      <c r="P60" s="3">
        <v>2</v>
      </c>
      <c r="Q60" s="40">
        <f t="shared" si="9"/>
        <v>2</v>
      </c>
      <c r="R60" s="3">
        <v>0</v>
      </c>
      <c r="S60" s="40">
        <f t="shared" si="10"/>
        <v>0</v>
      </c>
      <c r="T60" s="3">
        <v>2</v>
      </c>
      <c r="U60" s="40">
        <f t="shared" si="11"/>
        <v>2</v>
      </c>
      <c r="X60" s="22">
        <f t="shared" si="12"/>
        <v>18</v>
      </c>
      <c r="Y60" s="22">
        <f t="shared" si="8"/>
        <v>81.818181818181827</v>
      </c>
    </row>
    <row r="61" spans="1:25" ht="18" x14ac:dyDescent="0.35">
      <c r="A61" s="2">
        <v>56</v>
      </c>
      <c r="B61" s="16" t="s">
        <v>146</v>
      </c>
      <c r="C61" s="20" t="s">
        <v>147</v>
      </c>
      <c r="D61" s="3">
        <v>2</v>
      </c>
      <c r="E61" s="3">
        <v>2</v>
      </c>
      <c r="F61" s="36">
        <f t="shared" si="4"/>
        <v>4</v>
      </c>
      <c r="G61" s="3">
        <v>0</v>
      </c>
      <c r="H61" s="3">
        <v>2</v>
      </c>
      <c r="I61" s="36">
        <f t="shared" si="5"/>
        <v>2</v>
      </c>
      <c r="J61" s="3">
        <v>2</v>
      </c>
      <c r="K61" s="3">
        <v>2</v>
      </c>
      <c r="L61" s="36">
        <f t="shared" si="6"/>
        <v>4</v>
      </c>
      <c r="M61" s="3">
        <v>2</v>
      </c>
      <c r="N61" s="38">
        <f t="shared" si="7"/>
        <v>2</v>
      </c>
      <c r="O61" s="3">
        <v>2</v>
      </c>
      <c r="P61" s="3">
        <v>2</v>
      </c>
      <c r="Q61" s="40">
        <f t="shared" si="9"/>
        <v>4</v>
      </c>
      <c r="R61" s="3">
        <v>2</v>
      </c>
      <c r="S61" s="40">
        <f t="shared" si="10"/>
        <v>2</v>
      </c>
      <c r="T61" s="3">
        <v>2</v>
      </c>
      <c r="U61" s="40">
        <f t="shared" si="11"/>
        <v>2</v>
      </c>
      <c r="X61" s="22">
        <f t="shared" si="12"/>
        <v>20</v>
      </c>
      <c r="Y61" s="22">
        <f t="shared" si="8"/>
        <v>90.909090909090907</v>
      </c>
    </row>
    <row r="62" spans="1:25" ht="18" x14ac:dyDescent="0.35">
      <c r="A62" s="2">
        <v>57</v>
      </c>
      <c r="B62" s="16" t="s">
        <v>148</v>
      </c>
      <c r="C62" s="20" t="s">
        <v>149</v>
      </c>
      <c r="D62" s="3">
        <v>2</v>
      </c>
      <c r="E62" s="3">
        <v>2</v>
      </c>
      <c r="F62" s="36">
        <f t="shared" si="4"/>
        <v>4</v>
      </c>
      <c r="G62" s="3">
        <v>2</v>
      </c>
      <c r="H62" s="3">
        <v>2</v>
      </c>
      <c r="I62" s="36">
        <f t="shared" si="5"/>
        <v>4</v>
      </c>
      <c r="J62" s="3">
        <v>0</v>
      </c>
      <c r="K62" s="3">
        <v>2</v>
      </c>
      <c r="L62" s="36">
        <f t="shared" si="6"/>
        <v>2</v>
      </c>
      <c r="M62" s="3">
        <v>2</v>
      </c>
      <c r="N62" s="38">
        <f t="shared" si="7"/>
        <v>2</v>
      </c>
      <c r="O62" s="3">
        <v>2</v>
      </c>
      <c r="P62" s="3">
        <v>2</v>
      </c>
      <c r="Q62" s="40">
        <f t="shared" si="9"/>
        <v>4</v>
      </c>
      <c r="R62" s="3">
        <v>2</v>
      </c>
      <c r="S62" s="40">
        <f t="shared" si="10"/>
        <v>2</v>
      </c>
      <c r="T62" s="3">
        <v>2</v>
      </c>
      <c r="U62" s="40">
        <f t="shared" si="11"/>
        <v>2</v>
      </c>
      <c r="X62" s="22">
        <f t="shared" si="12"/>
        <v>20</v>
      </c>
      <c r="Y62" s="22">
        <f t="shared" si="8"/>
        <v>90.909090909090907</v>
      </c>
    </row>
    <row r="63" spans="1:25" ht="18" x14ac:dyDescent="0.35">
      <c r="A63" s="2">
        <v>58</v>
      </c>
      <c r="B63" s="16" t="s">
        <v>150</v>
      </c>
      <c r="C63" s="20" t="s">
        <v>151</v>
      </c>
      <c r="D63" s="3">
        <v>2</v>
      </c>
      <c r="E63" s="3">
        <v>2</v>
      </c>
      <c r="F63" s="36">
        <f t="shared" si="4"/>
        <v>4</v>
      </c>
      <c r="G63" s="3">
        <v>2</v>
      </c>
      <c r="H63" s="3">
        <v>2</v>
      </c>
      <c r="I63" s="36">
        <f t="shared" si="5"/>
        <v>4</v>
      </c>
      <c r="J63" s="3">
        <v>2</v>
      </c>
      <c r="K63" s="3">
        <v>2</v>
      </c>
      <c r="L63" s="36">
        <f t="shared" si="6"/>
        <v>4</v>
      </c>
      <c r="M63" s="3">
        <v>0</v>
      </c>
      <c r="N63" s="38">
        <f t="shared" si="7"/>
        <v>0</v>
      </c>
      <c r="O63" s="3">
        <v>2</v>
      </c>
      <c r="P63" s="3">
        <v>2</v>
      </c>
      <c r="Q63" s="40">
        <f t="shared" si="9"/>
        <v>4</v>
      </c>
      <c r="R63" s="3">
        <v>2</v>
      </c>
      <c r="S63" s="40">
        <f t="shared" si="10"/>
        <v>2</v>
      </c>
      <c r="T63" s="3">
        <v>2</v>
      </c>
      <c r="U63" s="40">
        <f t="shared" si="11"/>
        <v>2</v>
      </c>
      <c r="X63" s="22">
        <f t="shared" si="12"/>
        <v>20</v>
      </c>
      <c r="Y63" s="22">
        <f t="shared" si="8"/>
        <v>90.909090909090907</v>
      </c>
    </row>
    <row r="64" spans="1:25" ht="18" x14ac:dyDescent="0.35">
      <c r="A64" s="2">
        <v>59</v>
      </c>
      <c r="B64" s="16" t="s">
        <v>152</v>
      </c>
      <c r="C64" s="20" t="s">
        <v>153</v>
      </c>
      <c r="D64" s="3">
        <v>2</v>
      </c>
      <c r="E64" s="3">
        <v>2</v>
      </c>
      <c r="F64" s="36">
        <f t="shared" si="4"/>
        <v>4</v>
      </c>
      <c r="G64" s="3">
        <v>2</v>
      </c>
      <c r="H64" s="3">
        <v>2</v>
      </c>
      <c r="I64" s="36">
        <f t="shared" si="5"/>
        <v>4</v>
      </c>
      <c r="J64" s="3">
        <v>2</v>
      </c>
      <c r="K64" s="3">
        <v>0</v>
      </c>
      <c r="L64" s="36">
        <f t="shared" si="6"/>
        <v>2</v>
      </c>
      <c r="M64" s="3">
        <v>2</v>
      </c>
      <c r="N64" s="38">
        <f t="shared" si="7"/>
        <v>2</v>
      </c>
      <c r="O64" s="3">
        <v>2</v>
      </c>
      <c r="P64" s="3">
        <v>2</v>
      </c>
      <c r="Q64" s="40">
        <f t="shared" si="9"/>
        <v>4</v>
      </c>
      <c r="R64" s="3">
        <v>2</v>
      </c>
      <c r="S64" s="40">
        <f t="shared" si="10"/>
        <v>2</v>
      </c>
      <c r="T64" s="3">
        <v>2</v>
      </c>
      <c r="U64" s="40">
        <f t="shared" si="11"/>
        <v>2</v>
      </c>
      <c r="X64" s="22">
        <f t="shared" si="12"/>
        <v>20</v>
      </c>
      <c r="Y64" s="22">
        <f t="shared" si="8"/>
        <v>90.909090909090907</v>
      </c>
    </row>
    <row r="65" spans="1:25" ht="18" x14ac:dyDescent="0.35">
      <c r="A65" s="2">
        <v>60</v>
      </c>
      <c r="B65" s="16" t="s">
        <v>154</v>
      </c>
      <c r="C65" s="20" t="s">
        <v>155</v>
      </c>
      <c r="D65" s="3">
        <v>2</v>
      </c>
      <c r="E65" s="3">
        <v>2</v>
      </c>
      <c r="F65" s="36">
        <f t="shared" si="4"/>
        <v>4</v>
      </c>
      <c r="G65" s="3">
        <v>2</v>
      </c>
      <c r="H65" s="3">
        <v>0</v>
      </c>
      <c r="I65" s="36">
        <f t="shared" si="5"/>
        <v>2</v>
      </c>
      <c r="J65" s="3">
        <v>2</v>
      </c>
      <c r="K65" s="3">
        <v>2</v>
      </c>
      <c r="L65" s="36">
        <f t="shared" si="6"/>
        <v>4</v>
      </c>
      <c r="M65" s="3">
        <v>2</v>
      </c>
      <c r="N65" s="38">
        <f t="shared" si="7"/>
        <v>2</v>
      </c>
      <c r="O65" s="3">
        <v>2</v>
      </c>
      <c r="P65" s="3">
        <v>2</v>
      </c>
      <c r="Q65" s="40">
        <f t="shared" si="9"/>
        <v>4</v>
      </c>
      <c r="R65" s="3">
        <v>2</v>
      </c>
      <c r="S65" s="40">
        <f t="shared" si="10"/>
        <v>2</v>
      </c>
      <c r="T65" s="3">
        <v>2</v>
      </c>
      <c r="U65" s="40">
        <f t="shared" si="11"/>
        <v>2</v>
      </c>
      <c r="X65" s="22">
        <f t="shared" si="12"/>
        <v>20</v>
      </c>
      <c r="Y65" s="22">
        <f t="shared" si="8"/>
        <v>90.909090909090907</v>
      </c>
    </row>
    <row r="66" spans="1:25" ht="18" x14ac:dyDescent="0.35">
      <c r="A66" s="2">
        <v>61</v>
      </c>
      <c r="B66" s="16" t="s">
        <v>156</v>
      </c>
      <c r="C66" s="20" t="s">
        <v>157</v>
      </c>
      <c r="D66" s="3">
        <v>2</v>
      </c>
      <c r="E66" s="3">
        <v>2</v>
      </c>
      <c r="F66" s="36">
        <f t="shared" si="4"/>
        <v>4</v>
      </c>
      <c r="G66" s="3">
        <v>2</v>
      </c>
      <c r="H66" s="3">
        <v>2</v>
      </c>
      <c r="I66" s="36">
        <f t="shared" si="5"/>
        <v>4</v>
      </c>
      <c r="J66" s="3">
        <v>2</v>
      </c>
      <c r="K66" s="3">
        <v>2</v>
      </c>
      <c r="L66" s="36">
        <f t="shared" si="6"/>
        <v>4</v>
      </c>
      <c r="M66" s="3">
        <v>2</v>
      </c>
      <c r="N66" s="38">
        <f t="shared" si="7"/>
        <v>2</v>
      </c>
      <c r="O66" s="3">
        <v>2</v>
      </c>
      <c r="P66" s="3">
        <v>0</v>
      </c>
      <c r="Q66" s="40">
        <f t="shared" si="9"/>
        <v>2</v>
      </c>
      <c r="R66" s="3">
        <v>2</v>
      </c>
      <c r="S66" s="40">
        <f t="shared" si="10"/>
        <v>2</v>
      </c>
      <c r="T66" s="3">
        <v>0</v>
      </c>
      <c r="U66" s="40">
        <f t="shared" si="11"/>
        <v>0</v>
      </c>
      <c r="X66" s="22">
        <f t="shared" si="12"/>
        <v>18</v>
      </c>
      <c r="Y66" s="22">
        <f t="shared" si="8"/>
        <v>81.818181818181827</v>
      </c>
    </row>
    <row r="67" spans="1:25" ht="18" x14ac:dyDescent="0.35">
      <c r="A67" s="2">
        <v>62</v>
      </c>
      <c r="B67" s="16" t="s">
        <v>158</v>
      </c>
      <c r="C67" s="20" t="s">
        <v>159</v>
      </c>
      <c r="D67" s="3">
        <v>2</v>
      </c>
      <c r="E67" s="3">
        <v>2</v>
      </c>
      <c r="F67" s="36">
        <f t="shared" si="4"/>
        <v>4</v>
      </c>
      <c r="G67" s="3">
        <v>0</v>
      </c>
      <c r="H67" s="3">
        <v>2</v>
      </c>
      <c r="I67" s="36">
        <f t="shared" si="5"/>
        <v>2</v>
      </c>
      <c r="J67" s="3">
        <v>2</v>
      </c>
      <c r="K67" s="3">
        <v>2</v>
      </c>
      <c r="L67" s="36">
        <f t="shared" si="6"/>
        <v>4</v>
      </c>
      <c r="M67" s="3">
        <v>2</v>
      </c>
      <c r="N67" s="38">
        <f t="shared" si="7"/>
        <v>2</v>
      </c>
      <c r="O67" s="3">
        <v>2</v>
      </c>
      <c r="P67" s="3">
        <v>2</v>
      </c>
      <c r="Q67" s="40">
        <f t="shared" si="9"/>
        <v>4</v>
      </c>
      <c r="R67" s="3">
        <v>2</v>
      </c>
      <c r="S67" s="40">
        <f t="shared" si="10"/>
        <v>2</v>
      </c>
      <c r="T67" s="3">
        <v>2</v>
      </c>
      <c r="U67" s="40">
        <f t="shared" si="11"/>
        <v>2</v>
      </c>
      <c r="X67" s="22">
        <f t="shared" si="12"/>
        <v>20</v>
      </c>
      <c r="Y67" s="22">
        <f t="shared" si="8"/>
        <v>90.909090909090907</v>
      </c>
    </row>
    <row r="68" spans="1:25" ht="18" x14ac:dyDescent="0.35">
      <c r="A68" s="2">
        <v>63</v>
      </c>
      <c r="B68" s="16" t="s">
        <v>160</v>
      </c>
      <c r="C68" s="20" t="s">
        <v>161</v>
      </c>
      <c r="D68" s="3">
        <v>2</v>
      </c>
      <c r="E68" s="3">
        <v>2</v>
      </c>
      <c r="F68" s="36">
        <f t="shared" si="4"/>
        <v>4</v>
      </c>
      <c r="G68" s="3">
        <v>2</v>
      </c>
      <c r="H68" s="3">
        <v>2</v>
      </c>
      <c r="I68" s="36">
        <f t="shared" si="5"/>
        <v>4</v>
      </c>
      <c r="J68" s="3">
        <v>0</v>
      </c>
      <c r="K68" s="3">
        <v>2</v>
      </c>
      <c r="L68" s="36">
        <f t="shared" si="6"/>
        <v>2</v>
      </c>
      <c r="M68" s="3">
        <v>2</v>
      </c>
      <c r="N68" s="38">
        <f t="shared" si="7"/>
        <v>2</v>
      </c>
      <c r="O68" s="3">
        <v>2</v>
      </c>
      <c r="P68" s="3">
        <v>2</v>
      </c>
      <c r="Q68" s="40">
        <f t="shared" si="9"/>
        <v>4</v>
      </c>
      <c r="R68" s="3">
        <v>2</v>
      </c>
      <c r="S68" s="40">
        <f t="shared" si="10"/>
        <v>2</v>
      </c>
      <c r="T68" s="3">
        <v>2</v>
      </c>
      <c r="U68" s="40">
        <f t="shared" si="11"/>
        <v>2</v>
      </c>
      <c r="X68" s="22">
        <f t="shared" si="12"/>
        <v>20</v>
      </c>
      <c r="Y68" s="22">
        <f t="shared" si="8"/>
        <v>90.909090909090907</v>
      </c>
    </row>
    <row r="69" spans="1:25" ht="18" x14ac:dyDescent="0.35">
      <c r="A69" s="2">
        <v>64</v>
      </c>
      <c r="B69" s="16" t="s">
        <v>162</v>
      </c>
      <c r="C69" s="20" t="s">
        <v>163</v>
      </c>
      <c r="D69" s="3">
        <v>2</v>
      </c>
      <c r="E69" s="3">
        <v>2</v>
      </c>
      <c r="F69" s="36">
        <f t="shared" si="4"/>
        <v>4</v>
      </c>
      <c r="G69" s="3">
        <v>2</v>
      </c>
      <c r="H69" s="3">
        <v>2</v>
      </c>
      <c r="I69" s="36">
        <f t="shared" si="5"/>
        <v>4</v>
      </c>
      <c r="J69" s="3">
        <v>2</v>
      </c>
      <c r="K69" s="3">
        <v>2</v>
      </c>
      <c r="L69" s="36">
        <f t="shared" si="6"/>
        <v>4</v>
      </c>
      <c r="M69" s="3">
        <v>0</v>
      </c>
      <c r="N69" s="38">
        <f t="shared" si="7"/>
        <v>0</v>
      </c>
      <c r="O69" s="3">
        <v>2</v>
      </c>
      <c r="P69" s="3">
        <v>2</v>
      </c>
      <c r="Q69" s="40">
        <f t="shared" ref="Q69:Q70" si="13">SUM(O69:P69)</f>
        <v>4</v>
      </c>
      <c r="R69" s="3">
        <v>2</v>
      </c>
      <c r="S69" s="40">
        <f t="shared" ref="S69:S70" si="14">SUM(R69:R69)</f>
        <v>2</v>
      </c>
      <c r="T69" s="3">
        <v>2</v>
      </c>
      <c r="U69" s="40">
        <f t="shared" ref="U69:U100" si="15">SUM(T69:T69)</f>
        <v>2</v>
      </c>
      <c r="X69" s="22">
        <f t="shared" si="12"/>
        <v>20</v>
      </c>
      <c r="Y69" s="22">
        <f t="shared" si="8"/>
        <v>90.909090909090907</v>
      </c>
    </row>
    <row r="70" spans="1:25" ht="18" x14ac:dyDescent="0.35">
      <c r="A70" s="2">
        <v>65</v>
      </c>
      <c r="B70" s="17" t="s">
        <v>164</v>
      </c>
      <c r="C70" s="21" t="s">
        <v>165</v>
      </c>
      <c r="D70" s="3">
        <v>2</v>
      </c>
      <c r="E70" s="3">
        <v>2</v>
      </c>
      <c r="F70" s="36">
        <f t="shared" ref="F70" si="16">SUM(D70:E70)</f>
        <v>4</v>
      </c>
      <c r="G70" s="3">
        <v>2</v>
      </c>
      <c r="H70" s="3">
        <v>2</v>
      </c>
      <c r="I70" s="36">
        <f t="shared" ref="I70" si="17">SUM(G70:H70)</f>
        <v>4</v>
      </c>
      <c r="J70" s="3">
        <v>2</v>
      </c>
      <c r="K70" s="3">
        <v>0</v>
      </c>
      <c r="L70" s="36">
        <f t="shared" ref="L70" si="18">SUM(J70:K70)</f>
        <v>2</v>
      </c>
      <c r="M70" s="3">
        <v>2</v>
      </c>
      <c r="N70" s="38">
        <f t="shared" ref="N70" si="19">SUM(M70:M70)</f>
        <v>2</v>
      </c>
      <c r="O70" s="3">
        <v>2</v>
      </c>
      <c r="P70" s="3">
        <v>2</v>
      </c>
      <c r="Q70" s="40">
        <f t="shared" si="13"/>
        <v>4</v>
      </c>
      <c r="R70" s="3">
        <v>2</v>
      </c>
      <c r="S70" s="40">
        <f t="shared" si="14"/>
        <v>2</v>
      </c>
      <c r="T70" s="3">
        <v>2</v>
      </c>
      <c r="U70" s="40">
        <f t="shared" si="15"/>
        <v>2</v>
      </c>
      <c r="X70" s="22">
        <f t="shared" si="12"/>
        <v>20</v>
      </c>
      <c r="Y70" s="22">
        <f t="shared" si="8"/>
        <v>90.909090909090907</v>
      </c>
    </row>
  </sheetData>
  <mergeCells count="15">
    <mergeCell ref="G2:H2"/>
    <mergeCell ref="I2:I3"/>
    <mergeCell ref="J2:K2"/>
    <mergeCell ref="L2:L3"/>
    <mergeCell ref="A3:A4"/>
    <mergeCell ref="B3:B4"/>
    <mergeCell ref="A5:B5"/>
    <mergeCell ref="D2:E2"/>
    <mergeCell ref="F2:F3"/>
    <mergeCell ref="U2:U3"/>
    <mergeCell ref="O2:P2"/>
    <mergeCell ref="Q2:Q3"/>
    <mergeCell ref="S2:S3"/>
    <mergeCell ref="M2"/>
    <mergeCell ref="N2:N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"/>
  <sheetViews>
    <sheetView topLeftCell="D1" zoomScale="80" zoomScaleNormal="80" workbookViewId="0">
      <selection activeCell="AB6" sqref="AB6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0" width="9.109375" style="15" customWidth="1"/>
    <col min="11" max="11" width="9.88671875" style="15" customWidth="1"/>
    <col min="12" max="12" width="9.109375" style="15"/>
    <col min="13" max="14" width="9.109375" style="15" customWidth="1"/>
    <col min="15" max="15" width="9.109375" style="15"/>
    <col min="16" max="17" width="9.109375" style="15" customWidth="1"/>
    <col min="18" max="18" width="9.109375" style="15"/>
    <col min="19" max="20" width="9.109375" style="15" customWidth="1"/>
    <col min="21" max="21" width="9.109375" style="15"/>
    <col min="22" max="23" width="9.109375" style="15" customWidth="1"/>
    <col min="24" max="16384" width="9.109375" style="15"/>
  </cols>
  <sheetData>
    <row r="1" spans="1:28" ht="15.75" thickBot="1" x14ac:dyDescent="0.3"/>
    <row r="2" spans="1:28" ht="15.75" customHeight="1" thickBot="1" x14ac:dyDescent="0.3">
      <c r="D2" s="64" t="s">
        <v>35</v>
      </c>
      <c r="E2" s="64"/>
      <c r="F2" s="64"/>
      <c r="G2" s="60" t="s">
        <v>16</v>
      </c>
      <c r="H2" s="63" t="s">
        <v>7</v>
      </c>
      <c r="I2" s="63"/>
      <c r="J2" s="60" t="s">
        <v>17</v>
      </c>
      <c r="K2" s="64" t="s">
        <v>7</v>
      </c>
      <c r="L2" s="60" t="s">
        <v>18</v>
      </c>
      <c r="M2" s="53" t="s">
        <v>166</v>
      </c>
      <c r="N2" s="53"/>
      <c r="O2" s="52" t="s">
        <v>19</v>
      </c>
      <c r="P2" s="53" t="s">
        <v>166</v>
      </c>
      <c r="Q2" s="53"/>
      <c r="R2" s="54" t="s">
        <v>168</v>
      </c>
      <c r="S2" s="53" t="s">
        <v>171</v>
      </c>
      <c r="T2" s="53"/>
      <c r="U2" s="52" t="s">
        <v>169</v>
      </c>
      <c r="V2" s="53" t="s">
        <v>171</v>
      </c>
      <c r="W2" s="53"/>
      <c r="X2" s="52" t="s">
        <v>170</v>
      </c>
    </row>
    <row r="3" spans="1:28" x14ac:dyDescent="0.25">
      <c r="A3" s="58"/>
      <c r="B3" s="59"/>
      <c r="C3" s="29"/>
      <c r="D3" s="4" t="s">
        <v>9</v>
      </c>
      <c r="E3" s="4" t="s">
        <v>9</v>
      </c>
      <c r="F3" s="4" t="s">
        <v>9</v>
      </c>
      <c r="G3" s="61"/>
      <c r="H3" s="4" t="s">
        <v>9</v>
      </c>
      <c r="I3" s="4" t="s">
        <v>9</v>
      </c>
      <c r="J3" s="61"/>
      <c r="K3" s="4" t="s">
        <v>9</v>
      </c>
      <c r="L3" s="61"/>
      <c r="M3" s="30" t="s">
        <v>2</v>
      </c>
      <c r="N3" s="30" t="s">
        <v>2</v>
      </c>
      <c r="O3" s="52"/>
      <c r="P3" s="34" t="s">
        <v>2</v>
      </c>
      <c r="Q3" s="34" t="s">
        <v>2</v>
      </c>
      <c r="R3" s="55"/>
      <c r="S3" s="34" t="s">
        <v>2</v>
      </c>
      <c r="T3" s="34" t="s">
        <v>2</v>
      </c>
      <c r="U3" s="52"/>
      <c r="V3" s="34" t="s">
        <v>2</v>
      </c>
      <c r="W3" s="34" t="s">
        <v>2</v>
      </c>
      <c r="X3" s="52"/>
    </row>
    <row r="4" spans="1:28" x14ac:dyDescent="0.25">
      <c r="A4" s="58"/>
      <c r="B4" s="59"/>
      <c r="C4" s="35" t="s">
        <v>167</v>
      </c>
      <c r="D4" s="6">
        <v>16</v>
      </c>
      <c r="E4" s="6">
        <v>23</v>
      </c>
      <c r="F4" s="6">
        <v>30</v>
      </c>
      <c r="G4" s="6"/>
      <c r="H4" s="30">
        <v>6</v>
      </c>
      <c r="I4" s="30">
        <v>13</v>
      </c>
      <c r="J4" s="30"/>
      <c r="K4" s="30">
        <v>20</v>
      </c>
      <c r="L4" s="27"/>
      <c r="M4" s="30">
        <v>3</v>
      </c>
      <c r="N4" s="30">
        <v>10</v>
      </c>
      <c r="O4" s="7"/>
      <c r="P4" s="34">
        <v>17</v>
      </c>
      <c r="Q4" s="34">
        <v>24</v>
      </c>
      <c r="R4" s="7"/>
      <c r="S4" s="34">
        <v>8</v>
      </c>
      <c r="T4" s="34">
        <v>15</v>
      </c>
      <c r="U4" s="7"/>
      <c r="V4" s="34">
        <v>22</v>
      </c>
      <c r="W4" s="34">
        <v>28</v>
      </c>
      <c r="X4" s="7"/>
    </row>
    <row r="5" spans="1:28" s="26" customFormat="1" ht="21" customHeight="1" x14ac:dyDescent="0.25">
      <c r="A5" s="57" t="s">
        <v>0</v>
      </c>
      <c r="B5" s="57"/>
      <c r="C5" s="28"/>
      <c r="D5" s="45">
        <v>3</v>
      </c>
      <c r="E5" s="46">
        <v>3</v>
      </c>
      <c r="F5" s="46">
        <v>3</v>
      </c>
      <c r="G5" s="36">
        <f>SUM(D5:F5)</f>
        <v>9</v>
      </c>
      <c r="H5" s="25">
        <v>3</v>
      </c>
      <c r="I5" s="25">
        <v>3</v>
      </c>
      <c r="J5" s="36">
        <f>SUM(H5:I5)</f>
        <v>6</v>
      </c>
      <c r="K5" s="25">
        <v>3</v>
      </c>
      <c r="L5" s="36">
        <f>SUM(K5:K5)</f>
        <v>3</v>
      </c>
      <c r="M5" s="25">
        <v>3</v>
      </c>
      <c r="N5" s="24">
        <v>3</v>
      </c>
      <c r="O5" s="38">
        <f>SUM(M5:N5)</f>
        <v>6</v>
      </c>
      <c r="P5" s="25">
        <v>3</v>
      </c>
      <c r="Q5" s="24">
        <v>3</v>
      </c>
      <c r="R5" s="38">
        <f t="shared" ref="R5:R36" si="0">SUM(P5:Q5)</f>
        <v>6</v>
      </c>
      <c r="S5" s="25">
        <v>3</v>
      </c>
      <c r="T5" s="24">
        <v>3</v>
      </c>
      <c r="U5" s="38">
        <f t="shared" ref="U5:U36" si="1">SUM(S5:T5)</f>
        <v>6</v>
      </c>
      <c r="V5" s="24">
        <v>3</v>
      </c>
      <c r="W5" s="24">
        <v>3</v>
      </c>
      <c r="X5" s="38">
        <f t="shared" ref="X5:X36" si="2">SUM(V5:W5)</f>
        <v>6</v>
      </c>
      <c r="AA5" s="28">
        <f>G5+J5+L5+O5+R5+U5+X5</f>
        <v>42</v>
      </c>
      <c r="AB5" s="28"/>
    </row>
    <row r="6" spans="1:28" ht="18.75" x14ac:dyDescent="0.3">
      <c r="A6" s="2">
        <v>1</v>
      </c>
      <c r="B6" s="16" t="s">
        <v>36</v>
      </c>
      <c r="C6" s="20" t="s">
        <v>37</v>
      </c>
      <c r="D6" s="47">
        <v>3</v>
      </c>
      <c r="E6" s="47">
        <v>3</v>
      </c>
      <c r="F6" s="47">
        <v>3</v>
      </c>
      <c r="G6" s="36">
        <f t="shared" ref="G6:G20" si="3">SUM(D6:F6)</f>
        <v>9</v>
      </c>
      <c r="H6" s="3">
        <v>0</v>
      </c>
      <c r="I6" s="3">
        <v>3</v>
      </c>
      <c r="J6" s="36">
        <f t="shared" ref="J6:J20" si="4">SUM(H6:I6)</f>
        <v>3</v>
      </c>
      <c r="K6" s="3">
        <v>0</v>
      </c>
      <c r="L6" s="36">
        <f t="shared" ref="L6:L20" si="5">SUM(K6:K6)</f>
        <v>0</v>
      </c>
      <c r="M6" s="3">
        <v>0</v>
      </c>
      <c r="N6" s="3">
        <v>3</v>
      </c>
      <c r="O6" s="38">
        <f t="shared" ref="O6:O20" si="6">SUM(M6:N6)</f>
        <v>3</v>
      </c>
      <c r="P6" s="41">
        <v>3</v>
      </c>
      <c r="Q6" s="42">
        <v>3</v>
      </c>
      <c r="R6" s="40">
        <f t="shared" si="0"/>
        <v>6</v>
      </c>
      <c r="S6" s="3">
        <v>3</v>
      </c>
      <c r="T6" s="3">
        <v>3</v>
      </c>
      <c r="U6" s="40">
        <f t="shared" si="1"/>
        <v>6</v>
      </c>
      <c r="V6" s="3">
        <v>3</v>
      </c>
      <c r="W6" s="3">
        <v>3</v>
      </c>
      <c r="X6" s="40">
        <f t="shared" si="2"/>
        <v>6</v>
      </c>
      <c r="AA6" s="22">
        <f>G6+J6+L6+O6+R6+U6+X6</f>
        <v>33</v>
      </c>
      <c r="AB6" s="22">
        <f>AA6/42*100</f>
        <v>78.571428571428569</v>
      </c>
    </row>
    <row r="7" spans="1:28" ht="18.75" x14ac:dyDescent="0.3">
      <c r="A7" s="2">
        <v>2</v>
      </c>
      <c r="B7" s="16" t="s">
        <v>38</v>
      </c>
      <c r="C7" s="20" t="s">
        <v>39</v>
      </c>
      <c r="D7" s="47">
        <v>3</v>
      </c>
      <c r="E7" s="47">
        <v>0</v>
      </c>
      <c r="F7" s="47">
        <v>3</v>
      </c>
      <c r="G7" s="36">
        <f t="shared" si="3"/>
        <v>6</v>
      </c>
      <c r="H7" s="3">
        <v>3</v>
      </c>
      <c r="I7" s="3">
        <v>3</v>
      </c>
      <c r="J7" s="36">
        <f t="shared" si="4"/>
        <v>6</v>
      </c>
      <c r="K7" s="3">
        <v>3</v>
      </c>
      <c r="L7" s="36">
        <f t="shared" si="5"/>
        <v>3</v>
      </c>
      <c r="M7" s="3">
        <v>3</v>
      </c>
      <c r="N7" s="3">
        <v>3</v>
      </c>
      <c r="O7" s="38">
        <f t="shared" si="6"/>
        <v>6</v>
      </c>
      <c r="P7" s="41">
        <v>3</v>
      </c>
      <c r="Q7" s="42">
        <v>3</v>
      </c>
      <c r="R7" s="40">
        <f t="shared" si="0"/>
        <v>6</v>
      </c>
      <c r="S7" s="3">
        <v>3</v>
      </c>
      <c r="T7" s="3">
        <v>3</v>
      </c>
      <c r="U7" s="40">
        <f t="shared" si="1"/>
        <v>6</v>
      </c>
      <c r="V7" s="3">
        <v>3</v>
      </c>
      <c r="W7" s="3">
        <v>3</v>
      </c>
      <c r="X7" s="40">
        <f t="shared" si="2"/>
        <v>6</v>
      </c>
      <c r="AA7" s="22">
        <f t="shared" ref="AA7:AA70" si="7">G7+J7+L7+O7+R7+U7+X7</f>
        <v>39</v>
      </c>
      <c r="AB7" s="22">
        <f t="shared" ref="AB7:AB70" si="8">AA7/42*100</f>
        <v>92.857142857142861</v>
      </c>
    </row>
    <row r="8" spans="1:28" ht="18.75" x14ac:dyDescent="0.3">
      <c r="A8" s="2">
        <v>3</v>
      </c>
      <c r="B8" s="16" t="s">
        <v>40</v>
      </c>
      <c r="C8" s="20" t="s">
        <v>41</v>
      </c>
      <c r="D8" s="47">
        <v>3</v>
      </c>
      <c r="E8" s="47">
        <v>3</v>
      </c>
      <c r="F8" s="47">
        <v>0</v>
      </c>
      <c r="G8" s="36">
        <f t="shared" si="3"/>
        <v>6</v>
      </c>
      <c r="H8" s="3">
        <v>3</v>
      </c>
      <c r="I8" s="3">
        <v>3</v>
      </c>
      <c r="J8" s="36">
        <f t="shared" si="4"/>
        <v>6</v>
      </c>
      <c r="K8" s="3">
        <v>3</v>
      </c>
      <c r="L8" s="36">
        <f t="shared" si="5"/>
        <v>3</v>
      </c>
      <c r="M8" s="3">
        <v>3</v>
      </c>
      <c r="N8" s="3">
        <v>3</v>
      </c>
      <c r="O8" s="38">
        <f t="shared" si="6"/>
        <v>6</v>
      </c>
      <c r="P8" s="41">
        <v>3</v>
      </c>
      <c r="Q8" s="42">
        <v>3</v>
      </c>
      <c r="R8" s="40">
        <f t="shared" si="0"/>
        <v>6</v>
      </c>
      <c r="S8" s="3">
        <v>3</v>
      </c>
      <c r="T8" s="3">
        <v>3</v>
      </c>
      <c r="U8" s="40">
        <f t="shared" si="1"/>
        <v>6</v>
      </c>
      <c r="V8" s="3">
        <v>3</v>
      </c>
      <c r="W8" s="3">
        <v>3</v>
      </c>
      <c r="X8" s="40">
        <f t="shared" si="2"/>
        <v>6</v>
      </c>
      <c r="AA8" s="22">
        <f t="shared" si="7"/>
        <v>39</v>
      </c>
      <c r="AB8" s="22">
        <f t="shared" si="8"/>
        <v>92.857142857142861</v>
      </c>
    </row>
    <row r="9" spans="1:28" ht="18.75" x14ac:dyDescent="0.3">
      <c r="A9" s="2">
        <v>4</v>
      </c>
      <c r="B9" s="16" t="s">
        <v>42</v>
      </c>
      <c r="C9" s="20" t="s">
        <v>43</v>
      </c>
      <c r="D9" s="47">
        <v>3</v>
      </c>
      <c r="E9" s="47">
        <v>3</v>
      </c>
      <c r="F9" s="47">
        <v>3</v>
      </c>
      <c r="G9" s="36">
        <f t="shared" si="3"/>
        <v>9</v>
      </c>
      <c r="H9" s="3">
        <v>0</v>
      </c>
      <c r="I9" s="3">
        <v>3</v>
      </c>
      <c r="J9" s="36">
        <f t="shared" si="4"/>
        <v>3</v>
      </c>
      <c r="K9" s="3">
        <v>3</v>
      </c>
      <c r="L9" s="36">
        <f t="shared" si="5"/>
        <v>3</v>
      </c>
      <c r="M9" s="3">
        <v>3</v>
      </c>
      <c r="N9" s="3">
        <v>3</v>
      </c>
      <c r="O9" s="38">
        <f t="shared" si="6"/>
        <v>6</v>
      </c>
      <c r="P9" s="41">
        <v>3</v>
      </c>
      <c r="Q9" s="42">
        <v>3</v>
      </c>
      <c r="R9" s="40">
        <f t="shared" si="0"/>
        <v>6</v>
      </c>
      <c r="S9" s="3">
        <v>3</v>
      </c>
      <c r="T9" s="3">
        <v>3</v>
      </c>
      <c r="U9" s="40">
        <f t="shared" si="1"/>
        <v>6</v>
      </c>
      <c r="V9" s="3">
        <v>3</v>
      </c>
      <c r="W9" s="3">
        <v>3</v>
      </c>
      <c r="X9" s="40">
        <f t="shared" si="2"/>
        <v>6</v>
      </c>
      <c r="AA9" s="22">
        <f t="shared" si="7"/>
        <v>39</v>
      </c>
      <c r="AB9" s="22">
        <f t="shared" si="8"/>
        <v>92.857142857142861</v>
      </c>
    </row>
    <row r="10" spans="1:28" ht="18.75" x14ac:dyDescent="0.3">
      <c r="A10" s="2">
        <v>5</v>
      </c>
      <c r="B10" s="16" t="s">
        <v>44</v>
      </c>
      <c r="C10" s="20" t="s">
        <v>45</v>
      </c>
      <c r="D10" s="47">
        <v>3</v>
      </c>
      <c r="E10" s="47">
        <v>3</v>
      </c>
      <c r="F10" s="47">
        <v>3</v>
      </c>
      <c r="G10" s="36">
        <f t="shared" si="3"/>
        <v>9</v>
      </c>
      <c r="H10" s="3">
        <v>3</v>
      </c>
      <c r="I10" s="3">
        <v>0</v>
      </c>
      <c r="J10" s="36">
        <f t="shared" si="4"/>
        <v>3</v>
      </c>
      <c r="K10" s="3">
        <v>3</v>
      </c>
      <c r="L10" s="36">
        <f t="shared" si="5"/>
        <v>3</v>
      </c>
      <c r="M10" s="3">
        <v>3</v>
      </c>
      <c r="N10" s="3">
        <v>3</v>
      </c>
      <c r="O10" s="38">
        <f t="shared" si="6"/>
        <v>6</v>
      </c>
      <c r="P10" s="41">
        <v>3</v>
      </c>
      <c r="Q10" s="42">
        <v>3</v>
      </c>
      <c r="R10" s="40">
        <f t="shared" si="0"/>
        <v>6</v>
      </c>
      <c r="S10" s="3">
        <v>3</v>
      </c>
      <c r="T10" s="3">
        <v>3</v>
      </c>
      <c r="U10" s="40">
        <f t="shared" si="1"/>
        <v>6</v>
      </c>
      <c r="V10" s="3">
        <v>3</v>
      </c>
      <c r="W10" s="3">
        <v>3</v>
      </c>
      <c r="X10" s="40">
        <f t="shared" si="2"/>
        <v>6</v>
      </c>
      <c r="AA10" s="22">
        <f t="shared" si="7"/>
        <v>39</v>
      </c>
      <c r="AB10" s="22">
        <f t="shared" si="8"/>
        <v>92.857142857142861</v>
      </c>
    </row>
    <row r="11" spans="1:28" ht="18.75" x14ac:dyDescent="0.3">
      <c r="A11" s="2">
        <v>6</v>
      </c>
      <c r="B11" s="16" t="s">
        <v>46</v>
      </c>
      <c r="C11" s="20" t="s">
        <v>47</v>
      </c>
      <c r="D11" s="47">
        <v>3</v>
      </c>
      <c r="E11" s="47">
        <v>3</v>
      </c>
      <c r="F11" s="47">
        <v>3</v>
      </c>
      <c r="G11" s="36">
        <f t="shared" si="3"/>
        <v>9</v>
      </c>
      <c r="H11" s="3">
        <v>3</v>
      </c>
      <c r="I11" s="3">
        <v>3</v>
      </c>
      <c r="J11" s="36">
        <f t="shared" si="4"/>
        <v>6</v>
      </c>
      <c r="K11" s="3">
        <v>0</v>
      </c>
      <c r="L11" s="36">
        <f t="shared" si="5"/>
        <v>0</v>
      </c>
      <c r="M11" s="3">
        <v>3</v>
      </c>
      <c r="N11" s="3">
        <v>3</v>
      </c>
      <c r="O11" s="38">
        <f t="shared" si="6"/>
        <v>6</v>
      </c>
      <c r="P11" s="41">
        <v>3</v>
      </c>
      <c r="Q11" s="42">
        <v>3</v>
      </c>
      <c r="R11" s="40">
        <f t="shared" si="0"/>
        <v>6</v>
      </c>
      <c r="S11" s="3">
        <v>3</v>
      </c>
      <c r="T11" s="3">
        <v>3</v>
      </c>
      <c r="U11" s="40">
        <f t="shared" si="1"/>
        <v>6</v>
      </c>
      <c r="V11" s="3">
        <v>3</v>
      </c>
      <c r="W11" s="3">
        <v>3</v>
      </c>
      <c r="X11" s="40">
        <f t="shared" si="2"/>
        <v>6</v>
      </c>
      <c r="AA11" s="22">
        <f t="shared" si="7"/>
        <v>39</v>
      </c>
      <c r="AB11" s="22">
        <f t="shared" si="8"/>
        <v>92.857142857142861</v>
      </c>
    </row>
    <row r="12" spans="1:28" ht="18.75" x14ac:dyDescent="0.3">
      <c r="A12" s="2">
        <v>7</v>
      </c>
      <c r="B12" s="16" t="s">
        <v>48</v>
      </c>
      <c r="C12" s="20" t="s">
        <v>49</v>
      </c>
      <c r="D12" s="47">
        <v>3</v>
      </c>
      <c r="E12" s="47">
        <v>3</v>
      </c>
      <c r="F12" s="47">
        <v>3</v>
      </c>
      <c r="G12" s="36">
        <f t="shared" si="3"/>
        <v>9</v>
      </c>
      <c r="H12" s="3">
        <v>3</v>
      </c>
      <c r="I12" s="3">
        <v>3</v>
      </c>
      <c r="J12" s="36">
        <f t="shared" si="4"/>
        <v>6</v>
      </c>
      <c r="K12" s="3">
        <v>3</v>
      </c>
      <c r="L12" s="36">
        <f t="shared" si="5"/>
        <v>3</v>
      </c>
      <c r="M12" s="3">
        <v>0</v>
      </c>
      <c r="N12" s="3">
        <v>3</v>
      </c>
      <c r="O12" s="38">
        <f t="shared" si="6"/>
        <v>3</v>
      </c>
      <c r="P12" s="41">
        <v>3</v>
      </c>
      <c r="Q12" s="42">
        <v>3</v>
      </c>
      <c r="R12" s="40">
        <f t="shared" si="0"/>
        <v>6</v>
      </c>
      <c r="S12" s="3">
        <v>3</v>
      </c>
      <c r="T12" s="3">
        <v>3</v>
      </c>
      <c r="U12" s="40">
        <f t="shared" si="1"/>
        <v>6</v>
      </c>
      <c r="V12" s="3">
        <v>3</v>
      </c>
      <c r="W12" s="3">
        <v>3</v>
      </c>
      <c r="X12" s="40">
        <f t="shared" si="2"/>
        <v>6</v>
      </c>
      <c r="AA12" s="22">
        <f t="shared" si="7"/>
        <v>39</v>
      </c>
      <c r="AB12" s="22">
        <f t="shared" si="8"/>
        <v>92.857142857142861</v>
      </c>
    </row>
    <row r="13" spans="1:28" ht="18.75" x14ac:dyDescent="0.3">
      <c r="A13" s="2">
        <v>8</v>
      </c>
      <c r="B13" s="16" t="s">
        <v>50</v>
      </c>
      <c r="C13" s="20" t="s">
        <v>51</v>
      </c>
      <c r="D13" s="47">
        <v>3</v>
      </c>
      <c r="E13" s="47">
        <v>3</v>
      </c>
      <c r="F13" s="47">
        <v>3</v>
      </c>
      <c r="G13" s="36">
        <f t="shared" si="3"/>
        <v>9</v>
      </c>
      <c r="H13" s="3">
        <v>3</v>
      </c>
      <c r="I13" s="3">
        <v>3</v>
      </c>
      <c r="J13" s="36">
        <f t="shared" si="4"/>
        <v>6</v>
      </c>
      <c r="K13" s="3">
        <v>3</v>
      </c>
      <c r="L13" s="36">
        <f t="shared" si="5"/>
        <v>3</v>
      </c>
      <c r="M13" s="3">
        <v>3</v>
      </c>
      <c r="N13" s="3">
        <v>0</v>
      </c>
      <c r="O13" s="38">
        <f t="shared" si="6"/>
        <v>3</v>
      </c>
      <c r="P13" s="41">
        <v>3</v>
      </c>
      <c r="Q13" s="42">
        <v>3</v>
      </c>
      <c r="R13" s="40">
        <f t="shared" si="0"/>
        <v>6</v>
      </c>
      <c r="S13" s="3">
        <v>3</v>
      </c>
      <c r="T13" s="3">
        <v>3</v>
      </c>
      <c r="U13" s="40">
        <f t="shared" si="1"/>
        <v>6</v>
      </c>
      <c r="V13" s="3">
        <v>3</v>
      </c>
      <c r="W13" s="3">
        <v>3</v>
      </c>
      <c r="X13" s="40">
        <f t="shared" si="2"/>
        <v>6</v>
      </c>
      <c r="AA13" s="22">
        <f t="shared" si="7"/>
        <v>39</v>
      </c>
      <c r="AB13" s="22">
        <f t="shared" si="8"/>
        <v>92.857142857142861</v>
      </c>
    </row>
    <row r="14" spans="1:28" ht="18.75" x14ac:dyDescent="0.3">
      <c r="A14" s="2">
        <v>9</v>
      </c>
      <c r="B14" s="16" t="s">
        <v>52</v>
      </c>
      <c r="C14" s="20" t="s">
        <v>53</v>
      </c>
      <c r="D14" s="47">
        <v>3</v>
      </c>
      <c r="E14" s="47">
        <v>3</v>
      </c>
      <c r="F14" s="47">
        <v>3</v>
      </c>
      <c r="G14" s="36">
        <f t="shared" si="3"/>
        <v>9</v>
      </c>
      <c r="H14" s="3">
        <v>3</v>
      </c>
      <c r="I14" s="3">
        <v>3</v>
      </c>
      <c r="J14" s="36">
        <f t="shared" si="4"/>
        <v>6</v>
      </c>
      <c r="K14" s="3">
        <v>3</v>
      </c>
      <c r="L14" s="36">
        <f t="shared" si="5"/>
        <v>3</v>
      </c>
      <c r="M14" s="3">
        <v>0</v>
      </c>
      <c r="N14" s="3">
        <v>3</v>
      </c>
      <c r="O14" s="38">
        <f t="shared" si="6"/>
        <v>3</v>
      </c>
      <c r="P14" s="41">
        <v>3</v>
      </c>
      <c r="Q14" s="42">
        <v>3</v>
      </c>
      <c r="R14" s="40">
        <f t="shared" si="0"/>
        <v>6</v>
      </c>
      <c r="S14" s="3">
        <v>3</v>
      </c>
      <c r="T14" s="3">
        <v>3</v>
      </c>
      <c r="U14" s="40">
        <f t="shared" si="1"/>
        <v>6</v>
      </c>
      <c r="V14" s="3">
        <v>3</v>
      </c>
      <c r="W14" s="3">
        <v>3</v>
      </c>
      <c r="X14" s="40">
        <f t="shared" si="2"/>
        <v>6</v>
      </c>
      <c r="AA14" s="22">
        <f t="shared" si="7"/>
        <v>39</v>
      </c>
      <c r="AB14" s="22">
        <f t="shared" si="8"/>
        <v>92.857142857142861</v>
      </c>
    </row>
    <row r="15" spans="1:28" ht="18.75" x14ac:dyDescent="0.3">
      <c r="A15" s="2">
        <v>10</v>
      </c>
      <c r="B15" s="16" t="s">
        <v>54</v>
      </c>
      <c r="C15" s="20" t="s">
        <v>55</v>
      </c>
      <c r="D15" s="47">
        <v>3</v>
      </c>
      <c r="E15" s="47">
        <v>3</v>
      </c>
      <c r="F15" s="47">
        <v>3</v>
      </c>
      <c r="G15" s="36">
        <f t="shared" si="3"/>
        <v>9</v>
      </c>
      <c r="H15" s="3">
        <v>3</v>
      </c>
      <c r="I15" s="3">
        <v>3</v>
      </c>
      <c r="J15" s="36">
        <f t="shared" si="4"/>
        <v>6</v>
      </c>
      <c r="K15" s="3">
        <v>0</v>
      </c>
      <c r="L15" s="36">
        <f t="shared" si="5"/>
        <v>0</v>
      </c>
      <c r="M15" s="3">
        <v>3</v>
      </c>
      <c r="N15" s="3">
        <v>3</v>
      </c>
      <c r="O15" s="38">
        <f t="shared" si="6"/>
        <v>6</v>
      </c>
      <c r="P15" s="41">
        <v>3</v>
      </c>
      <c r="Q15" s="42">
        <v>3</v>
      </c>
      <c r="R15" s="40">
        <f t="shared" si="0"/>
        <v>6</v>
      </c>
      <c r="S15" s="3">
        <v>3</v>
      </c>
      <c r="T15" s="3">
        <v>3</v>
      </c>
      <c r="U15" s="40">
        <f t="shared" si="1"/>
        <v>6</v>
      </c>
      <c r="V15" s="3">
        <v>3</v>
      </c>
      <c r="W15" s="3">
        <v>3</v>
      </c>
      <c r="X15" s="40">
        <f t="shared" si="2"/>
        <v>6</v>
      </c>
      <c r="AA15" s="22">
        <f t="shared" si="7"/>
        <v>39</v>
      </c>
      <c r="AB15" s="22">
        <f t="shared" si="8"/>
        <v>92.857142857142861</v>
      </c>
    </row>
    <row r="16" spans="1:28" ht="18.75" x14ac:dyDescent="0.3">
      <c r="A16" s="2">
        <v>11</v>
      </c>
      <c r="B16" s="16" t="s">
        <v>56</v>
      </c>
      <c r="C16" s="20" t="s">
        <v>57</v>
      </c>
      <c r="D16" s="47">
        <v>3</v>
      </c>
      <c r="E16" s="47">
        <v>3</v>
      </c>
      <c r="F16" s="47">
        <v>3</v>
      </c>
      <c r="G16" s="36">
        <f t="shared" si="3"/>
        <v>9</v>
      </c>
      <c r="H16" s="3">
        <v>3</v>
      </c>
      <c r="I16" s="3">
        <v>0</v>
      </c>
      <c r="J16" s="36">
        <f t="shared" si="4"/>
        <v>3</v>
      </c>
      <c r="K16" s="3">
        <v>3</v>
      </c>
      <c r="L16" s="36">
        <f t="shared" si="5"/>
        <v>3</v>
      </c>
      <c r="M16" s="3">
        <v>3</v>
      </c>
      <c r="N16" s="3">
        <v>3</v>
      </c>
      <c r="O16" s="38">
        <f t="shared" si="6"/>
        <v>6</v>
      </c>
      <c r="P16" s="41">
        <v>3</v>
      </c>
      <c r="Q16" s="42">
        <v>3</v>
      </c>
      <c r="R16" s="40">
        <f t="shared" si="0"/>
        <v>6</v>
      </c>
      <c r="S16" s="3">
        <v>3</v>
      </c>
      <c r="T16" s="3">
        <v>3</v>
      </c>
      <c r="U16" s="40">
        <f t="shared" si="1"/>
        <v>6</v>
      </c>
      <c r="V16" s="3">
        <v>3</v>
      </c>
      <c r="W16" s="3">
        <v>3</v>
      </c>
      <c r="X16" s="40">
        <f t="shared" si="2"/>
        <v>6</v>
      </c>
      <c r="AA16" s="22">
        <f t="shared" si="7"/>
        <v>39</v>
      </c>
      <c r="AB16" s="22">
        <f t="shared" si="8"/>
        <v>92.857142857142861</v>
      </c>
    </row>
    <row r="17" spans="1:28" ht="18.75" x14ac:dyDescent="0.3">
      <c r="A17" s="2">
        <v>12</v>
      </c>
      <c r="B17" s="16" t="s">
        <v>58</v>
      </c>
      <c r="C17" s="20" t="s">
        <v>59</v>
      </c>
      <c r="D17" s="47">
        <v>3</v>
      </c>
      <c r="E17" s="47">
        <v>3</v>
      </c>
      <c r="F17" s="47">
        <v>3</v>
      </c>
      <c r="G17" s="36">
        <f t="shared" si="3"/>
        <v>9</v>
      </c>
      <c r="H17" s="3">
        <v>0</v>
      </c>
      <c r="I17" s="3">
        <v>3</v>
      </c>
      <c r="J17" s="36">
        <f t="shared" si="4"/>
        <v>3</v>
      </c>
      <c r="K17" s="3">
        <v>3</v>
      </c>
      <c r="L17" s="36">
        <f t="shared" si="5"/>
        <v>3</v>
      </c>
      <c r="M17" s="3">
        <v>3</v>
      </c>
      <c r="N17" s="3">
        <v>3</v>
      </c>
      <c r="O17" s="38">
        <f t="shared" si="6"/>
        <v>6</v>
      </c>
      <c r="P17" s="41">
        <v>3</v>
      </c>
      <c r="Q17" s="42">
        <v>3</v>
      </c>
      <c r="R17" s="40">
        <f t="shared" si="0"/>
        <v>6</v>
      </c>
      <c r="S17" s="3">
        <v>3</v>
      </c>
      <c r="T17" s="3">
        <v>3</v>
      </c>
      <c r="U17" s="40">
        <f t="shared" si="1"/>
        <v>6</v>
      </c>
      <c r="V17" s="3">
        <v>3</v>
      </c>
      <c r="W17" s="3">
        <v>3</v>
      </c>
      <c r="X17" s="40">
        <f t="shared" si="2"/>
        <v>6</v>
      </c>
      <c r="AA17" s="22">
        <f t="shared" si="7"/>
        <v>39</v>
      </c>
      <c r="AB17" s="22">
        <f t="shared" si="8"/>
        <v>92.857142857142861</v>
      </c>
    </row>
    <row r="18" spans="1:28" ht="18.75" x14ac:dyDescent="0.3">
      <c r="A18" s="2">
        <v>13</v>
      </c>
      <c r="B18" s="16" t="s">
        <v>60</v>
      </c>
      <c r="C18" s="20" t="s">
        <v>61</v>
      </c>
      <c r="D18" s="47">
        <v>3</v>
      </c>
      <c r="E18" s="47">
        <v>3</v>
      </c>
      <c r="F18" s="47">
        <v>0</v>
      </c>
      <c r="G18" s="36">
        <f t="shared" si="3"/>
        <v>6</v>
      </c>
      <c r="H18" s="3">
        <v>3</v>
      </c>
      <c r="I18" s="3">
        <v>3</v>
      </c>
      <c r="J18" s="36">
        <f t="shared" si="4"/>
        <v>6</v>
      </c>
      <c r="K18" s="3">
        <v>3</v>
      </c>
      <c r="L18" s="36">
        <f t="shared" si="5"/>
        <v>3</v>
      </c>
      <c r="M18" s="3">
        <v>3</v>
      </c>
      <c r="N18" s="3">
        <v>3</v>
      </c>
      <c r="O18" s="38">
        <f t="shared" si="6"/>
        <v>6</v>
      </c>
      <c r="P18" s="41">
        <v>3</v>
      </c>
      <c r="Q18" s="42">
        <v>3</v>
      </c>
      <c r="R18" s="40">
        <f t="shared" si="0"/>
        <v>6</v>
      </c>
      <c r="S18" s="3">
        <v>3</v>
      </c>
      <c r="T18" s="3">
        <v>3</v>
      </c>
      <c r="U18" s="40">
        <f t="shared" si="1"/>
        <v>6</v>
      </c>
      <c r="V18" s="3">
        <v>3</v>
      </c>
      <c r="W18" s="3">
        <v>3</v>
      </c>
      <c r="X18" s="40">
        <f t="shared" si="2"/>
        <v>6</v>
      </c>
      <c r="AA18" s="22">
        <f t="shared" si="7"/>
        <v>39</v>
      </c>
      <c r="AB18" s="22">
        <f t="shared" si="8"/>
        <v>92.857142857142861</v>
      </c>
    </row>
    <row r="19" spans="1:28" ht="18.75" x14ac:dyDescent="0.3">
      <c r="A19" s="2">
        <v>14</v>
      </c>
      <c r="B19" s="16" t="s">
        <v>62</v>
      </c>
      <c r="C19" s="20" t="s">
        <v>63</v>
      </c>
      <c r="D19" s="47">
        <v>3</v>
      </c>
      <c r="E19" s="47">
        <v>0</v>
      </c>
      <c r="F19" s="47">
        <v>3</v>
      </c>
      <c r="G19" s="36">
        <f t="shared" si="3"/>
        <v>6</v>
      </c>
      <c r="H19" s="3">
        <v>3</v>
      </c>
      <c r="I19" s="3">
        <v>3</v>
      </c>
      <c r="J19" s="36">
        <f t="shared" si="4"/>
        <v>6</v>
      </c>
      <c r="K19" s="3">
        <v>3</v>
      </c>
      <c r="L19" s="36">
        <f t="shared" si="5"/>
        <v>3</v>
      </c>
      <c r="M19" s="3">
        <v>3</v>
      </c>
      <c r="N19" s="3">
        <v>3</v>
      </c>
      <c r="O19" s="38">
        <f t="shared" si="6"/>
        <v>6</v>
      </c>
      <c r="P19" s="41">
        <v>3</v>
      </c>
      <c r="Q19" s="42">
        <v>3</v>
      </c>
      <c r="R19" s="40">
        <f t="shared" si="0"/>
        <v>6</v>
      </c>
      <c r="S19" s="3">
        <v>3</v>
      </c>
      <c r="T19" s="3">
        <v>3</v>
      </c>
      <c r="U19" s="40">
        <f t="shared" si="1"/>
        <v>6</v>
      </c>
      <c r="V19" s="3">
        <v>3</v>
      </c>
      <c r="W19" s="3">
        <v>3</v>
      </c>
      <c r="X19" s="40">
        <f t="shared" si="2"/>
        <v>6</v>
      </c>
      <c r="AA19" s="22">
        <f t="shared" si="7"/>
        <v>39</v>
      </c>
      <c r="AB19" s="22">
        <f t="shared" si="8"/>
        <v>92.857142857142861</v>
      </c>
    </row>
    <row r="20" spans="1:28" ht="18.75" x14ac:dyDescent="0.3">
      <c r="A20" s="2">
        <v>15</v>
      </c>
      <c r="B20" s="16" t="s">
        <v>64</v>
      </c>
      <c r="C20" s="20" t="s">
        <v>65</v>
      </c>
      <c r="D20" s="47">
        <v>3</v>
      </c>
      <c r="E20" s="47">
        <v>3</v>
      </c>
      <c r="F20" s="47">
        <v>3</v>
      </c>
      <c r="G20" s="36">
        <f t="shared" si="3"/>
        <v>9</v>
      </c>
      <c r="H20" s="3">
        <v>3</v>
      </c>
      <c r="I20" s="3">
        <v>0</v>
      </c>
      <c r="J20" s="36">
        <f t="shared" si="4"/>
        <v>3</v>
      </c>
      <c r="K20" s="3">
        <v>0</v>
      </c>
      <c r="L20" s="36">
        <f t="shared" si="5"/>
        <v>0</v>
      </c>
      <c r="M20" s="3">
        <v>0</v>
      </c>
      <c r="N20" s="3">
        <v>3</v>
      </c>
      <c r="O20" s="38">
        <f t="shared" si="6"/>
        <v>3</v>
      </c>
      <c r="P20" s="41">
        <v>3</v>
      </c>
      <c r="Q20" s="42">
        <v>3</v>
      </c>
      <c r="R20" s="40">
        <f t="shared" si="0"/>
        <v>6</v>
      </c>
      <c r="S20" s="3">
        <v>3</v>
      </c>
      <c r="T20" s="3">
        <v>3</v>
      </c>
      <c r="U20" s="40">
        <f t="shared" si="1"/>
        <v>6</v>
      </c>
      <c r="V20" s="3">
        <v>3</v>
      </c>
      <c r="W20" s="3">
        <v>3</v>
      </c>
      <c r="X20" s="40">
        <f t="shared" si="2"/>
        <v>6</v>
      </c>
      <c r="AA20" s="22">
        <f t="shared" si="7"/>
        <v>33</v>
      </c>
      <c r="AB20" s="22">
        <f t="shared" si="8"/>
        <v>78.571428571428569</v>
      </c>
    </row>
    <row r="21" spans="1:28" ht="18.75" x14ac:dyDescent="0.3">
      <c r="A21" s="2">
        <v>16</v>
      </c>
      <c r="B21" s="16" t="s">
        <v>66</v>
      </c>
      <c r="C21" s="20" t="s">
        <v>67</v>
      </c>
      <c r="D21" s="47">
        <v>3</v>
      </c>
      <c r="E21" s="47">
        <v>3</v>
      </c>
      <c r="F21" s="47">
        <v>3</v>
      </c>
      <c r="G21" s="36">
        <f t="shared" ref="G21:G70" si="9">SUM(D21:F21)</f>
        <v>9</v>
      </c>
      <c r="H21" s="3">
        <v>3</v>
      </c>
      <c r="I21" s="3">
        <v>3</v>
      </c>
      <c r="J21" s="36">
        <f t="shared" ref="J21:J70" si="10">SUM(H21:I21)</f>
        <v>6</v>
      </c>
      <c r="K21" s="3">
        <v>0</v>
      </c>
      <c r="L21" s="36">
        <f t="shared" ref="L21:L70" si="11">SUM(K21:K21)</f>
        <v>0</v>
      </c>
      <c r="M21" s="3">
        <v>0</v>
      </c>
      <c r="N21" s="3">
        <v>0</v>
      </c>
      <c r="O21" s="38">
        <f t="shared" ref="O21:O70" si="12">SUM(M21:N21)</f>
        <v>0</v>
      </c>
      <c r="P21" s="41">
        <v>3</v>
      </c>
      <c r="Q21" s="42">
        <v>3</v>
      </c>
      <c r="R21" s="40">
        <f t="shared" si="0"/>
        <v>6</v>
      </c>
      <c r="S21" s="3">
        <v>3</v>
      </c>
      <c r="T21" s="3">
        <v>3</v>
      </c>
      <c r="U21" s="40">
        <f t="shared" si="1"/>
        <v>6</v>
      </c>
      <c r="V21" s="3">
        <v>3</v>
      </c>
      <c r="W21" s="3">
        <v>3</v>
      </c>
      <c r="X21" s="40">
        <f t="shared" si="2"/>
        <v>6</v>
      </c>
      <c r="AA21" s="22">
        <f t="shared" si="7"/>
        <v>33</v>
      </c>
      <c r="AB21" s="22">
        <f t="shared" si="8"/>
        <v>78.571428571428569</v>
      </c>
    </row>
    <row r="22" spans="1:28" ht="18.75" x14ac:dyDescent="0.3">
      <c r="A22" s="2">
        <v>17</v>
      </c>
      <c r="B22" s="16" t="s">
        <v>68</v>
      </c>
      <c r="C22" s="20" t="s">
        <v>69</v>
      </c>
      <c r="D22" s="47">
        <v>3</v>
      </c>
      <c r="E22" s="47">
        <v>0</v>
      </c>
      <c r="F22" s="47">
        <v>3</v>
      </c>
      <c r="G22" s="36">
        <f t="shared" si="9"/>
        <v>6</v>
      </c>
      <c r="H22" s="3">
        <v>3</v>
      </c>
      <c r="I22" s="3">
        <v>3</v>
      </c>
      <c r="J22" s="36">
        <f t="shared" si="10"/>
        <v>6</v>
      </c>
      <c r="K22" s="3">
        <v>3</v>
      </c>
      <c r="L22" s="36">
        <f t="shared" si="11"/>
        <v>3</v>
      </c>
      <c r="M22" s="3">
        <v>3</v>
      </c>
      <c r="N22" s="3">
        <v>3</v>
      </c>
      <c r="O22" s="38">
        <f t="shared" si="12"/>
        <v>6</v>
      </c>
      <c r="P22" s="41">
        <v>3</v>
      </c>
      <c r="Q22" s="42">
        <v>3</v>
      </c>
      <c r="R22" s="40">
        <f t="shared" si="0"/>
        <v>6</v>
      </c>
      <c r="S22" s="3">
        <v>3</v>
      </c>
      <c r="T22" s="3">
        <v>3</v>
      </c>
      <c r="U22" s="40">
        <f t="shared" si="1"/>
        <v>6</v>
      </c>
      <c r="V22" s="3">
        <v>3</v>
      </c>
      <c r="W22" s="3">
        <v>3</v>
      </c>
      <c r="X22" s="40">
        <f t="shared" si="2"/>
        <v>6</v>
      </c>
      <c r="AA22" s="22">
        <f t="shared" si="7"/>
        <v>39</v>
      </c>
      <c r="AB22" s="22">
        <f t="shared" si="8"/>
        <v>92.857142857142861</v>
      </c>
    </row>
    <row r="23" spans="1:28" ht="18.75" x14ac:dyDescent="0.3">
      <c r="A23" s="2">
        <v>18</v>
      </c>
      <c r="B23" s="16" t="s">
        <v>70</v>
      </c>
      <c r="C23" s="20" t="s">
        <v>71</v>
      </c>
      <c r="D23" s="47">
        <v>3</v>
      </c>
      <c r="E23" s="47">
        <v>3</v>
      </c>
      <c r="F23" s="47">
        <v>0</v>
      </c>
      <c r="G23" s="36">
        <f t="shared" si="9"/>
        <v>6</v>
      </c>
      <c r="H23" s="3">
        <v>3</v>
      </c>
      <c r="I23" s="3">
        <v>3</v>
      </c>
      <c r="J23" s="36">
        <f t="shared" si="10"/>
        <v>6</v>
      </c>
      <c r="K23" s="3">
        <v>3</v>
      </c>
      <c r="L23" s="36">
        <f t="shared" si="11"/>
        <v>3</v>
      </c>
      <c r="M23" s="3">
        <v>3</v>
      </c>
      <c r="N23" s="3">
        <v>3</v>
      </c>
      <c r="O23" s="38">
        <f t="shared" si="12"/>
        <v>6</v>
      </c>
      <c r="P23" s="41">
        <v>3</v>
      </c>
      <c r="Q23" s="42">
        <v>3</v>
      </c>
      <c r="R23" s="40">
        <f t="shared" si="0"/>
        <v>6</v>
      </c>
      <c r="S23" s="3">
        <v>3</v>
      </c>
      <c r="T23" s="3">
        <v>3</v>
      </c>
      <c r="U23" s="40">
        <f t="shared" si="1"/>
        <v>6</v>
      </c>
      <c r="V23" s="3">
        <v>3</v>
      </c>
      <c r="W23" s="3">
        <v>3</v>
      </c>
      <c r="X23" s="40">
        <f t="shared" si="2"/>
        <v>6</v>
      </c>
      <c r="AA23" s="22">
        <f t="shared" si="7"/>
        <v>39</v>
      </c>
      <c r="AB23" s="22">
        <f t="shared" si="8"/>
        <v>92.857142857142861</v>
      </c>
    </row>
    <row r="24" spans="1:28" ht="18" x14ac:dyDescent="0.35">
      <c r="A24" s="2">
        <v>19</v>
      </c>
      <c r="B24" s="16" t="s">
        <v>72</v>
      </c>
      <c r="C24" s="20" t="s">
        <v>73</v>
      </c>
      <c r="D24" s="47">
        <v>3</v>
      </c>
      <c r="E24" s="47">
        <v>3</v>
      </c>
      <c r="F24" s="47">
        <v>3</v>
      </c>
      <c r="G24" s="36">
        <f t="shared" si="9"/>
        <v>9</v>
      </c>
      <c r="H24" s="3">
        <v>0</v>
      </c>
      <c r="I24" s="3">
        <v>3</v>
      </c>
      <c r="J24" s="36">
        <f t="shared" si="10"/>
        <v>3</v>
      </c>
      <c r="K24" s="3">
        <v>3</v>
      </c>
      <c r="L24" s="36">
        <f t="shared" si="11"/>
        <v>3</v>
      </c>
      <c r="M24" s="3">
        <v>3</v>
      </c>
      <c r="N24" s="3">
        <v>3</v>
      </c>
      <c r="O24" s="38">
        <f t="shared" si="12"/>
        <v>6</v>
      </c>
      <c r="P24" s="41">
        <v>3</v>
      </c>
      <c r="Q24" s="42">
        <v>3</v>
      </c>
      <c r="R24" s="40">
        <f t="shared" si="0"/>
        <v>6</v>
      </c>
      <c r="S24" s="3">
        <v>3</v>
      </c>
      <c r="T24" s="3">
        <v>3</v>
      </c>
      <c r="U24" s="40">
        <f t="shared" si="1"/>
        <v>6</v>
      </c>
      <c r="V24" s="3">
        <v>3</v>
      </c>
      <c r="W24" s="3">
        <v>3</v>
      </c>
      <c r="X24" s="40">
        <f t="shared" si="2"/>
        <v>6</v>
      </c>
      <c r="AA24" s="22">
        <f t="shared" si="7"/>
        <v>39</v>
      </c>
      <c r="AB24" s="22">
        <f t="shared" si="8"/>
        <v>92.857142857142861</v>
      </c>
    </row>
    <row r="25" spans="1:28" ht="18" x14ac:dyDescent="0.35">
      <c r="A25" s="2">
        <v>20</v>
      </c>
      <c r="B25" s="16" t="s">
        <v>74</v>
      </c>
      <c r="C25" s="20" t="s">
        <v>75</v>
      </c>
      <c r="D25" s="47">
        <v>3</v>
      </c>
      <c r="E25" s="47">
        <v>3</v>
      </c>
      <c r="F25" s="47">
        <v>3</v>
      </c>
      <c r="G25" s="36">
        <f t="shared" si="9"/>
        <v>9</v>
      </c>
      <c r="H25" s="3">
        <v>3</v>
      </c>
      <c r="I25" s="3">
        <v>0</v>
      </c>
      <c r="J25" s="36">
        <f t="shared" si="10"/>
        <v>3</v>
      </c>
      <c r="K25" s="3">
        <v>3</v>
      </c>
      <c r="L25" s="36">
        <f t="shared" si="11"/>
        <v>3</v>
      </c>
      <c r="M25" s="3">
        <v>3</v>
      </c>
      <c r="N25" s="3">
        <v>3</v>
      </c>
      <c r="O25" s="38">
        <f t="shared" si="12"/>
        <v>6</v>
      </c>
      <c r="P25" s="41">
        <v>3</v>
      </c>
      <c r="Q25" s="42">
        <v>3</v>
      </c>
      <c r="R25" s="40">
        <f t="shared" si="0"/>
        <v>6</v>
      </c>
      <c r="S25" s="3">
        <v>3</v>
      </c>
      <c r="T25" s="3">
        <v>3</v>
      </c>
      <c r="U25" s="40">
        <f t="shared" si="1"/>
        <v>6</v>
      </c>
      <c r="V25" s="3">
        <v>3</v>
      </c>
      <c r="W25" s="3">
        <v>3</v>
      </c>
      <c r="X25" s="40">
        <f t="shared" si="2"/>
        <v>6</v>
      </c>
      <c r="AA25" s="22">
        <f t="shared" si="7"/>
        <v>39</v>
      </c>
      <c r="AB25" s="22">
        <f t="shared" si="8"/>
        <v>92.857142857142861</v>
      </c>
    </row>
    <row r="26" spans="1:28" ht="18" x14ac:dyDescent="0.35">
      <c r="A26" s="2">
        <v>21</v>
      </c>
      <c r="B26" s="16" t="s">
        <v>76</v>
      </c>
      <c r="C26" s="20" t="s">
        <v>77</v>
      </c>
      <c r="D26" s="47">
        <v>3</v>
      </c>
      <c r="E26" s="47">
        <v>3</v>
      </c>
      <c r="F26" s="47">
        <v>3</v>
      </c>
      <c r="G26" s="36">
        <f t="shared" si="9"/>
        <v>9</v>
      </c>
      <c r="H26" s="3">
        <v>3</v>
      </c>
      <c r="I26" s="3">
        <v>3</v>
      </c>
      <c r="J26" s="36">
        <f t="shared" si="10"/>
        <v>6</v>
      </c>
      <c r="K26" s="3">
        <v>0</v>
      </c>
      <c r="L26" s="36">
        <f t="shared" si="11"/>
        <v>0</v>
      </c>
      <c r="M26" s="3">
        <v>3</v>
      </c>
      <c r="N26" s="3">
        <v>3</v>
      </c>
      <c r="O26" s="38">
        <f t="shared" si="12"/>
        <v>6</v>
      </c>
      <c r="P26" s="41">
        <v>3</v>
      </c>
      <c r="Q26" s="42">
        <v>3</v>
      </c>
      <c r="R26" s="40">
        <f t="shared" si="0"/>
        <v>6</v>
      </c>
      <c r="S26" s="3">
        <v>3</v>
      </c>
      <c r="T26" s="3">
        <v>3</v>
      </c>
      <c r="U26" s="40">
        <f t="shared" si="1"/>
        <v>6</v>
      </c>
      <c r="V26" s="3">
        <v>3</v>
      </c>
      <c r="W26" s="3">
        <v>3</v>
      </c>
      <c r="X26" s="40">
        <f t="shared" si="2"/>
        <v>6</v>
      </c>
      <c r="AA26" s="22">
        <f t="shared" si="7"/>
        <v>39</v>
      </c>
      <c r="AB26" s="22">
        <f t="shared" si="8"/>
        <v>92.857142857142861</v>
      </c>
    </row>
    <row r="27" spans="1:28" ht="18" x14ac:dyDescent="0.35">
      <c r="A27" s="2">
        <v>22</v>
      </c>
      <c r="B27" s="16" t="s">
        <v>78</v>
      </c>
      <c r="C27" s="20" t="s">
        <v>79</v>
      </c>
      <c r="D27" s="47">
        <v>3</v>
      </c>
      <c r="E27" s="47">
        <v>3</v>
      </c>
      <c r="F27" s="47">
        <v>3</v>
      </c>
      <c r="G27" s="36">
        <f t="shared" si="9"/>
        <v>9</v>
      </c>
      <c r="H27" s="3">
        <v>3</v>
      </c>
      <c r="I27" s="3">
        <v>3</v>
      </c>
      <c r="J27" s="36">
        <f t="shared" si="10"/>
        <v>6</v>
      </c>
      <c r="K27" s="3">
        <v>3</v>
      </c>
      <c r="L27" s="36">
        <f t="shared" si="11"/>
        <v>3</v>
      </c>
      <c r="M27" s="3">
        <v>0</v>
      </c>
      <c r="N27" s="3">
        <v>3</v>
      </c>
      <c r="O27" s="38">
        <f t="shared" si="12"/>
        <v>3</v>
      </c>
      <c r="P27" s="41">
        <v>3</v>
      </c>
      <c r="Q27" s="42">
        <v>3</v>
      </c>
      <c r="R27" s="40">
        <f t="shared" si="0"/>
        <v>6</v>
      </c>
      <c r="S27" s="3">
        <v>3</v>
      </c>
      <c r="T27" s="3">
        <v>3</v>
      </c>
      <c r="U27" s="40">
        <f t="shared" si="1"/>
        <v>6</v>
      </c>
      <c r="V27" s="3">
        <v>3</v>
      </c>
      <c r="W27" s="3">
        <v>3</v>
      </c>
      <c r="X27" s="40">
        <f t="shared" si="2"/>
        <v>6</v>
      </c>
      <c r="AA27" s="22">
        <f t="shared" si="7"/>
        <v>39</v>
      </c>
      <c r="AB27" s="22">
        <f t="shared" si="8"/>
        <v>92.857142857142861</v>
      </c>
    </row>
    <row r="28" spans="1:28" ht="18" x14ac:dyDescent="0.35">
      <c r="A28" s="2">
        <v>23</v>
      </c>
      <c r="B28" s="16" t="s">
        <v>80</v>
      </c>
      <c r="C28" s="20" t="s">
        <v>81</v>
      </c>
      <c r="D28" s="47">
        <v>3</v>
      </c>
      <c r="E28" s="47">
        <v>3</v>
      </c>
      <c r="F28" s="47">
        <v>3</v>
      </c>
      <c r="G28" s="36">
        <f t="shared" si="9"/>
        <v>9</v>
      </c>
      <c r="H28" s="3">
        <v>3</v>
      </c>
      <c r="I28" s="3">
        <v>3</v>
      </c>
      <c r="J28" s="36">
        <f t="shared" si="10"/>
        <v>6</v>
      </c>
      <c r="K28" s="3">
        <v>3</v>
      </c>
      <c r="L28" s="36">
        <f t="shared" si="11"/>
        <v>3</v>
      </c>
      <c r="M28" s="3">
        <v>3</v>
      </c>
      <c r="N28" s="3">
        <v>0</v>
      </c>
      <c r="O28" s="38">
        <f t="shared" si="12"/>
        <v>3</v>
      </c>
      <c r="P28" s="41">
        <v>3</v>
      </c>
      <c r="Q28" s="42">
        <v>3</v>
      </c>
      <c r="R28" s="40">
        <f t="shared" si="0"/>
        <v>6</v>
      </c>
      <c r="S28" s="3">
        <v>3</v>
      </c>
      <c r="T28" s="3">
        <v>3</v>
      </c>
      <c r="U28" s="40">
        <f t="shared" si="1"/>
        <v>6</v>
      </c>
      <c r="V28" s="3">
        <v>3</v>
      </c>
      <c r="W28" s="3">
        <v>3</v>
      </c>
      <c r="X28" s="40">
        <f t="shared" si="2"/>
        <v>6</v>
      </c>
      <c r="AA28" s="22">
        <f t="shared" si="7"/>
        <v>39</v>
      </c>
      <c r="AB28" s="22">
        <f t="shared" si="8"/>
        <v>92.857142857142861</v>
      </c>
    </row>
    <row r="29" spans="1:28" ht="18" x14ac:dyDescent="0.35">
      <c r="A29" s="2">
        <v>24</v>
      </c>
      <c r="B29" s="16" t="s">
        <v>82</v>
      </c>
      <c r="C29" s="20" t="s">
        <v>83</v>
      </c>
      <c r="D29" s="47">
        <v>3</v>
      </c>
      <c r="E29" s="47">
        <v>3</v>
      </c>
      <c r="F29" s="47">
        <v>3</v>
      </c>
      <c r="G29" s="36">
        <f t="shared" si="9"/>
        <v>9</v>
      </c>
      <c r="H29" s="3">
        <v>3</v>
      </c>
      <c r="I29" s="3">
        <v>3</v>
      </c>
      <c r="J29" s="36">
        <f t="shared" si="10"/>
        <v>6</v>
      </c>
      <c r="K29" s="3">
        <v>3</v>
      </c>
      <c r="L29" s="36">
        <f t="shared" si="11"/>
        <v>3</v>
      </c>
      <c r="M29" s="3">
        <v>0</v>
      </c>
      <c r="N29" s="3">
        <v>3</v>
      </c>
      <c r="O29" s="38">
        <f t="shared" si="12"/>
        <v>3</v>
      </c>
      <c r="P29" s="41">
        <v>3</v>
      </c>
      <c r="Q29" s="42">
        <v>3</v>
      </c>
      <c r="R29" s="40">
        <f t="shared" si="0"/>
        <v>6</v>
      </c>
      <c r="S29" s="3">
        <v>3</v>
      </c>
      <c r="T29" s="3">
        <v>3</v>
      </c>
      <c r="U29" s="40">
        <f t="shared" si="1"/>
        <v>6</v>
      </c>
      <c r="V29" s="3">
        <v>3</v>
      </c>
      <c r="W29" s="3">
        <v>3</v>
      </c>
      <c r="X29" s="40">
        <f t="shared" si="2"/>
        <v>6</v>
      </c>
      <c r="AA29" s="22">
        <f t="shared" si="7"/>
        <v>39</v>
      </c>
      <c r="AB29" s="22">
        <f t="shared" si="8"/>
        <v>92.857142857142861</v>
      </c>
    </row>
    <row r="30" spans="1:28" ht="18" x14ac:dyDescent="0.35">
      <c r="A30" s="2">
        <v>25</v>
      </c>
      <c r="B30" s="16" t="s">
        <v>84</v>
      </c>
      <c r="C30" s="20" t="s">
        <v>85</v>
      </c>
      <c r="D30" s="47">
        <v>3</v>
      </c>
      <c r="E30" s="47">
        <v>3</v>
      </c>
      <c r="F30" s="47">
        <v>3</v>
      </c>
      <c r="G30" s="36">
        <f t="shared" si="9"/>
        <v>9</v>
      </c>
      <c r="H30" s="3">
        <v>3</v>
      </c>
      <c r="I30" s="3">
        <v>3</v>
      </c>
      <c r="J30" s="36">
        <f t="shared" si="10"/>
        <v>6</v>
      </c>
      <c r="K30" s="3">
        <v>0</v>
      </c>
      <c r="L30" s="36">
        <f t="shared" si="11"/>
        <v>0</v>
      </c>
      <c r="M30" s="3">
        <v>3</v>
      </c>
      <c r="N30" s="3">
        <v>3</v>
      </c>
      <c r="O30" s="38">
        <f t="shared" si="12"/>
        <v>6</v>
      </c>
      <c r="P30" s="41">
        <v>3</v>
      </c>
      <c r="Q30" s="42">
        <v>3</v>
      </c>
      <c r="R30" s="40">
        <f t="shared" si="0"/>
        <v>6</v>
      </c>
      <c r="S30" s="3">
        <v>3</v>
      </c>
      <c r="T30" s="3">
        <v>3</v>
      </c>
      <c r="U30" s="40">
        <f t="shared" si="1"/>
        <v>6</v>
      </c>
      <c r="V30" s="3">
        <v>3</v>
      </c>
      <c r="W30" s="3">
        <v>3</v>
      </c>
      <c r="X30" s="40">
        <f t="shared" si="2"/>
        <v>6</v>
      </c>
      <c r="AA30" s="22">
        <f t="shared" si="7"/>
        <v>39</v>
      </c>
      <c r="AB30" s="22">
        <f t="shared" si="8"/>
        <v>92.857142857142861</v>
      </c>
    </row>
    <row r="31" spans="1:28" ht="18" x14ac:dyDescent="0.35">
      <c r="A31" s="2">
        <v>26</v>
      </c>
      <c r="B31" s="16" t="s">
        <v>86</v>
      </c>
      <c r="C31" s="20" t="s">
        <v>87</v>
      </c>
      <c r="D31" s="47">
        <v>3</v>
      </c>
      <c r="E31" s="47">
        <v>3</v>
      </c>
      <c r="F31" s="47">
        <v>3</v>
      </c>
      <c r="G31" s="36">
        <f t="shared" si="9"/>
        <v>9</v>
      </c>
      <c r="H31" s="3">
        <v>3</v>
      </c>
      <c r="I31" s="3">
        <v>0</v>
      </c>
      <c r="J31" s="36">
        <f t="shared" si="10"/>
        <v>3</v>
      </c>
      <c r="K31" s="3">
        <v>3</v>
      </c>
      <c r="L31" s="36">
        <f t="shared" si="11"/>
        <v>3</v>
      </c>
      <c r="M31" s="3">
        <v>3</v>
      </c>
      <c r="N31" s="3">
        <v>3</v>
      </c>
      <c r="O31" s="38">
        <f t="shared" si="12"/>
        <v>6</v>
      </c>
      <c r="P31" s="41">
        <v>3</v>
      </c>
      <c r="Q31" s="42">
        <v>3</v>
      </c>
      <c r="R31" s="40">
        <f t="shared" si="0"/>
        <v>6</v>
      </c>
      <c r="S31" s="3">
        <v>3</v>
      </c>
      <c r="T31" s="3">
        <v>3</v>
      </c>
      <c r="U31" s="40">
        <f t="shared" si="1"/>
        <v>6</v>
      </c>
      <c r="V31" s="3">
        <v>3</v>
      </c>
      <c r="W31" s="3">
        <v>3</v>
      </c>
      <c r="X31" s="40">
        <f t="shared" si="2"/>
        <v>6</v>
      </c>
      <c r="AA31" s="22">
        <f t="shared" si="7"/>
        <v>39</v>
      </c>
      <c r="AB31" s="22">
        <f t="shared" si="8"/>
        <v>92.857142857142861</v>
      </c>
    </row>
    <row r="32" spans="1:28" ht="18" x14ac:dyDescent="0.35">
      <c r="A32" s="2">
        <v>27</v>
      </c>
      <c r="B32" s="16" t="s">
        <v>88</v>
      </c>
      <c r="C32" s="20" t="s">
        <v>89</v>
      </c>
      <c r="D32" s="47">
        <v>3</v>
      </c>
      <c r="E32" s="47">
        <v>3</v>
      </c>
      <c r="F32" s="47">
        <v>3</v>
      </c>
      <c r="G32" s="36">
        <f t="shared" si="9"/>
        <v>9</v>
      </c>
      <c r="H32" s="3">
        <v>0</v>
      </c>
      <c r="I32" s="3">
        <v>3</v>
      </c>
      <c r="J32" s="36">
        <f t="shared" si="10"/>
        <v>3</v>
      </c>
      <c r="K32" s="3">
        <v>3</v>
      </c>
      <c r="L32" s="36">
        <f t="shared" si="11"/>
        <v>3</v>
      </c>
      <c r="M32" s="3">
        <v>3</v>
      </c>
      <c r="N32" s="3">
        <v>3</v>
      </c>
      <c r="O32" s="38">
        <f t="shared" si="12"/>
        <v>6</v>
      </c>
      <c r="P32" s="41">
        <v>3</v>
      </c>
      <c r="Q32" s="42">
        <v>3</v>
      </c>
      <c r="R32" s="40">
        <f t="shared" si="0"/>
        <v>6</v>
      </c>
      <c r="S32" s="3">
        <v>3</v>
      </c>
      <c r="T32" s="3">
        <v>3</v>
      </c>
      <c r="U32" s="40">
        <f t="shared" si="1"/>
        <v>6</v>
      </c>
      <c r="V32" s="3">
        <v>3</v>
      </c>
      <c r="W32" s="3">
        <v>3</v>
      </c>
      <c r="X32" s="40">
        <f t="shared" si="2"/>
        <v>6</v>
      </c>
      <c r="AA32" s="22">
        <f t="shared" si="7"/>
        <v>39</v>
      </c>
      <c r="AB32" s="22">
        <f t="shared" si="8"/>
        <v>92.857142857142861</v>
      </c>
    </row>
    <row r="33" spans="1:28" ht="18" x14ac:dyDescent="0.35">
      <c r="A33" s="2">
        <v>28</v>
      </c>
      <c r="B33" s="16" t="s">
        <v>90</v>
      </c>
      <c r="C33" s="20" t="s">
        <v>91</v>
      </c>
      <c r="D33" s="47">
        <v>3</v>
      </c>
      <c r="E33" s="47">
        <v>3</v>
      </c>
      <c r="F33" s="47">
        <v>0</v>
      </c>
      <c r="G33" s="36">
        <f t="shared" si="9"/>
        <v>6</v>
      </c>
      <c r="H33" s="3">
        <v>3</v>
      </c>
      <c r="I33" s="3">
        <v>3</v>
      </c>
      <c r="J33" s="36">
        <f t="shared" si="10"/>
        <v>6</v>
      </c>
      <c r="K33" s="3">
        <v>3</v>
      </c>
      <c r="L33" s="36">
        <f t="shared" si="11"/>
        <v>3</v>
      </c>
      <c r="M33" s="3">
        <v>3</v>
      </c>
      <c r="N33" s="3">
        <v>3</v>
      </c>
      <c r="O33" s="38">
        <f t="shared" si="12"/>
        <v>6</v>
      </c>
      <c r="P33" s="41">
        <v>3</v>
      </c>
      <c r="Q33" s="42">
        <v>3</v>
      </c>
      <c r="R33" s="40">
        <f t="shared" si="0"/>
        <v>6</v>
      </c>
      <c r="S33" s="3">
        <v>3</v>
      </c>
      <c r="T33" s="3">
        <v>3</v>
      </c>
      <c r="U33" s="40">
        <f t="shared" si="1"/>
        <v>6</v>
      </c>
      <c r="V33" s="3">
        <v>3</v>
      </c>
      <c r="W33" s="3">
        <v>3</v>
      </c>
      <c r="X33" s="40">
        <f t="shared" si="2"/>
        <v>6</v>
      </c>
      <c r="AA33" s="22">
        <f t="shared" si="7"/>
        <v>39</v>
      </c>
      <c r="AB33" s="22">
        <f t="shared" si="8"/>
        <v>92.857142857142861</v>
      </c>
    </row>
    <row r="34" spans="1:28" ht="18" x14ac:dyDescent="0.35">
      <c r="A34" s="2">
        <v>29</v>
      </c>
      <c r="B34" s="16" t="s">
        <v>92</v>
      </c>
      <c r="C34" s="20" t="s">
        <v>93</v>
      </c>
      <c r="D34" s="47">
        <v>3</v>
      </c>
      <c r="E34" s="47">
        <v>0</v>
      </c>
      <c r="F34" s="47">
        <v>3</v>
      </c>
      <c r="G34" s="36">
        <f t="shared" si="9"/>
        <v>6</v>
      </c>
      <c r="H34" s="3">
        <v>3</v>
      </c>
      <c r="I34" s="3">
        <v>3</v>
      </c>
      <c r="J34" s="36">
        <f t="shared" si="10"/>
        <v>6</v>
      </c>
      <c r="K34" s="3">
        <v>3</v>
      </c>
      <c r="L34" s="36">
        <f t="shared" si="11"/>
        <v>3</v>
      </c>
      <c r="M34" s="3">
        <v>3</v>
      </c>
      <c r="N34" s="3">
        <v>3</v>
      </c>
      <c r="O34" s="38">
        <f t="shared" si="12"/>
        <v>6</v>
      </c>
      <c r="P34" s="41">
        <v>3</v>
      </c>
      <c r="Q34" s="42">
        <v>3</v>
      </c>
      <c r="R34" s="40">
        <f t="shared" si="0"/>
        <v>6</v>
      </c>
      <c r="S34" s="3">
        <v>3</v>
      </c>
      <c r="T34" s="3">
        <v>3</v>
      </c>
      <c r="U34" s="40">
        <f t="shared" si="1"/>
        <v>6</v>
      </c>
      <c r="V34" s="3">
        <v>3</v>
      </c>
      <c r="W34" s="3">
        <v>3</v>
      </c>
      <c r="X34" s="40">
        <f t="shared" si="2"/>
        <v>6</v>
      </c>
      <c r="AA34" s="22">
        <f t="shared" si="7"/>
        <v>39</v>
      </c>
      <c r="AB34" s="22">
        <f t="shared" si="8"/>
        <v>92.857142857142861</v>
      </c>
    </row>
    <row r="35" spans="1:28" ht="18" x14ac:dyDescent="0.35">
      <c r="A35" s="2">
        <v>30</v>
      </c>
      <c r="B35" s="16" t="s">
        <v>94</v>
      </c>
      <c r="C35" s="20" t="s">
        <v>95</v>
      </c>
      <c r="D35" s="47">
        <v>3</v>
      </c>
      <c r="E35" s="47">
        <v>3</v>
      </c>
      <c r="F35" s="47">
        <v>3</v>
      </c>
      <c r="G35" s="36">
        <f t="shared" si="9"/>
        <v>9</v>
      </c>
      <c r="H35" s="3">
        <v>3</v>
      </c>
      <c r="I35" s="3">
        <v>3</v>
      </c>
      <c r="J35" s="36">
        <f t="shared" si="10"/>
        <v>6</v>
      </c>
      <c r="K35" s="3">
        <v>3</v>
      </c>
      <c r="L35" s="36">
        <f t="shared" si="11"/>
        <v>3</v>
      </c>
      <c r="M35" s="3">
        <v>3</v>
      </c>
      <c r="N35" s="3">
        <v>3</v>
      </c>
      <c r="O35" s="38">
        <f t="shared" si="12"/>
        <v>6</v>
      </c>
      <c r="P35" s="3">
        <v>0</v>
      </c>
      <c r="Q35" s="3">
        <v>0</v>
      </c>
      <c r="R35" s="40">
        <f t="shared" si="0"/>
        <v>0</v>
      </c>
      <c r="S35" s="3">
        <v>3</v>
      </c>
      <c r="T35" s="3">
        <v>0</v>
      </c>
      <c r="U35" s="40">
        <f t="shared" si="1"/>
        <v>3</v>
      </c>
      <c r="V35" s="3">
        <v>3</v>
      </c>
      <c r="W35" s="3">
        <v>3</v>
      </c>
      <c r="X35" s="40">
        <f t="shared" si="2"/>
        <v>6</v>
      </c>
      <c r="AA35" s="22">
        <f t="shared" si="7"/>
        <v>33</v>
      </c>
      <c r="AB35" s="22">
        <f t="shared" si="8"/>
        <v>78.571428571428569</v>
      </c>
    </row>
    <row r="36" spans="1:28" ht="18" x14ac:dyDescent="0.35">
      <c r="A36" s="2">
        <v>31</v>
      </c>
      <c r="B36" s="16" t="s">
        <v>96</v>
      </c>
      <c r="C36" s="20" t="s">
        <v>97</v>
      </c>
      <c r="D36" s="47">
        <v>3</v>
      </c>
      <c r="E36" s="47">
        <v>3</v>
      </c>
      <c r="F36" s="47">
        <v>3</v>
      </c>
      <c r="G36" s="36">
        <f t="shared" si="9"/>
        <v>9</v>
      </c>
      <c r="H36" s="3">
        <v>3</v>
      </c>
      <c r="I36" s="3">
        <v>3</v>
      </c>
      <c r="J36" s="36">
        <f t="shared" si="10"/>
        <v>6</v>
      </c>
      <c r="K36" s="3">
        <v>3</v>
      </c>
      <c r="L36" s="36">
        <f t="shared" si="11"/>
        <v>3</v>
      </c>
      <c r="M36" s="3">
        <v>3</v>
      </c>
      <c r="N36" s="3">
        <v>3</v>
      </c>
      <c r="O36" s="38">
        <f t="shared" si="12"/>
        <v>6</v>
      </c>
      <c r="P36" s="3">
        <v>0</v>
      </c>
      <c r="Q36" s="3">
        <v>0</v>
      </c>
      <c r="R36" s="40">
        <f t="shared" si="0"/>
        <v>0</v>
      </c>
      <c r="S36" s="3">
        <v>3</v>
      </c>
      <c r="T36" s="3">
        <v>0</v>
      </c>
      <c r="U36" s="40">
        <f t="shared" si="1"/>
        <v>3</v>
      </c>
      <c r="V36" s="3">
        <v>3</v>
      </c>
      <c r="W36" s="3">
        <v>3</v>
      </c>
      <c r="X36" s="40">
        <f t="shared" si="2"/>
        <v>6</v>
      </c>
      <c r="AA36" s="22">
        <f t="shared" si="7"/>
        <v>33</v>
      </c>
      <c r="AB36" s="22">
        <f t="shared" si="8"/>
        <v>78.571428571428569</v>
      </c>
    </row>
    <row r="37" spans="1:28" ht="18" x14ac:dyDescent="0.35">
      <c r="A37" s="2">
        <v>32</v>
      </c>
      <c r="B37" s="16" t="s">
        <v>98</v>
      </c>
      <c r="C37" s="20" t="s">
        <v>99</v>
      </c>
      <c r="D37" s="47">
        <v>3</v>
      </c>
      <c r="E37" s="47">
        <v>0</v>
      </c>
      <c r="F37" s="47">
        <v>3</v>
      </c>
      <c r="G37" s="36">
        <f t="shared" si="9"/>
        <v>6</v>
      </c>
      <c r="H37" s="3">
        <v>3</v>
      </c>
      <c r="I37" s="3">
        <v>3</v>
      </c>
      <c r="J37" s="36">
        <f t="shared" si="10"/>
        <v>6</v>
      </c>
      <c r="K37" s="3">
        <v>3</v>
      </c>
      <c r="L37" s="36">
        <f t="shared" si="11"/>
        <v>3</v>
      </c>
      <c r="M37" s="3">
        <v>3</v>
      </c>
      <c r="N37" s="3">
        <v>3</v>
      </c>
      <c r="O37" s="38">
        <f t="shared" si="12"/>
        <v>6</v>
      </c>
      <c r="P37" s="41">
        <v>3</v>
      </c>
      <c r="Q37" s="42">
        <v>3</v>
      </c>
      <c r="R37" s="40">
        <f t="shared" ref="R37:R68" si="13">SUM(P37:Q37)</f>
        <v>6</v>
      </c>
      <c r="S37" s="3">
        <v>3</v>
      </c>
      <c r="T37" s="3">
        <v>3</v>
      </c>
      <c r="U37" s="40">
        <f t="shared" ref="U37:U68" si="14">SUM(S37:T37)</f>
        <v>6</v>
      </c>
      <c r="V37" s="3">
        <v>3</v>
      </c>
      <c r="W37" s="3">
        <v>3</v>
      </c>
      <c r="X37" s="40">
        <f t="shared" ref="X37:X68" si="15">SUM(V37:W37)</f>
        <v>6</v>
      </c>
      <c r="AA37" s="22">
        <f t="shared" si="7"/>
        <v>39</v>
      </c>
      <c r="AB37" s="22">
        <f t="shared" si="8"/>
        <v>92.857142857142861</v>
      </c>
    </row>
    <row r="38" spans="1:28" ht="18" x14ac:dyDescent="0.35">
      <c r="A38" s="2">
        <v>33</v>
      </c>
      <c r="B38" s="16" t="s">
        <v>100</v>
      </c>
      <c r="C38" s="20" t="s">
        <v>101</v>
      </c>
      <c r="D38" s="47">
        <v>3</v>
      </c>
      <c r="E38" s="47">
        <v>3</v>
      </c>
      <c r="F38" s="47">
        <v>0</v>
      </c>
      <c r="G38" s="36">
        <f t="shared" si="9"/>
        <v>6</v>
      </c>
      <c r="H38" s="3">
        <v>3</v>
      </c>
      <c r="I38" s="3">
        <v>3</v>
      </c>
      <c r="J38" s="36">
        <f t="shared" si="10"/>
        <v>6</v>
      </c>
      <c r="K38" s="3">
        <v>3</v>
      </c>
      <c r="L38" s="36">
        <f t="shared" si="11"/>
        <v>3</v>
      </c>
      <c r="M38" s="3">
        <v>3</v>
      </c>
      <c r="N38" s="3">
        <v>3</v>
      </c>
      <c r="O38" s="38">
        <f t="shared" si="12"/>
        <v>6</v>
      </c>
      <c r="P38" s="41">
        <v>3</v>
      </c>
      <c r="Q38" s="42">
        <v>3</v>
      </c>
      <c r="R38" s="40">
        <f t="shared" si="13"/>
        <v>6</v>
      </c>
      <c r="S38" s="3">
        <v>3</v>
      </c>
      <c r="T38" s="3">
        <v>3</v>
      </c>
      <c r="U38" s="40">
        <f t="shared" si="14"/>
        <v>6</v>
      </c>
      <c r="V38" s="3">
        <v>3</v>
      </c>
      <c r="W38" s="3">
        <v>3</v>
      </c>
      <c r="X38" s="40">
        <f t="shared" si="15"/>
        <v>6</v>
      </c>
      <c r="AA38" s="22">
        <f t="shared" si="7"/>
        <v>39</v>
      </c>
      <c r="AB38" s="22">
        <f t="shared" si="8"/>
        <v>92.857142857142861</v>
      </c>
    </row>
    <row r="39" spans="1:28" ht="18" x14ac:dyDescent="0.35">
      <c r="A39" s="2">
        <v>34</v>
      </c>
      <c r="B39" s="16" t="s">
        <v>102</v>
      </c>
      <c r="C39" s="20" t="s">
        <v>103</v>
      </c>
      <c r="D39" s="47">
        <v>3</v>
      </c>
      <c r="E39" s="47">
        <v>3</v>
      </c>
      <c r="F39" s="47">
        <v>3</v>
      </c>
      <c r="G39" s="36">
        <f t="shared" si="9"/>
        <v>9</v>
      </c>
      <c r="H39" s="3">
        <v>0</v>
      </c>
      <c r="I39" s="3">
        <v>3</v>
      </c>
      <c r="J39" s="36">
        <f t="shared" si="10"/>
        <v>3</v>
      </c>
      <c r="K39" s="3">
        <v>3</v>
      </c>
      <c r="L39" s="36">
        <f t="shared" si="11"/>
        <v>3</v>
      </c>
      <c r="M39" s="3">
        <v>3</v>
      </c>
      <c r="N39" s="3">
        <v>3</v>
      </c>
      <c r="O39" s="38">
        <f t="shared" si="12"/>
        <v>6</v>
      </c>
      <c r="P39" s="41">
        <v>3</v>
      </c>
      <c r="Q39" s="42">
        <v>3</v>
      </c>
      <c r="R39" s="40">
        <f t="shared" si="13"/>
        <v>6</v>
      </c>
      <c r="S39" s="3">
        <v>3</v>
      </c>
      <c r="T39" s="3">
        <v>3</v>
      </c>
      <c r="U39" s="40">
        <f t="shared" si="14"/>
        <v>6</v>
      </c>
      <c r="V39" s="3">
        <v>3</v>
      </c>
      <c r="W39" s="3">
        <v>3</v>
      </c>
      <c r="X39" s="40">
        <f t="shared" si="15"/>
        <v>6</v>
      </c>
      <c r="AA39" s="22">
        <f t="shared" si="7"/>
        <v>39</v>
      </c>
      <c r="AB39" s="22">
        <f t="shared" si="8"/>
        <v>92.857142857142861</v>
      </c>
    </row>
    <row r="40" spans="1:28" ht="18" x14ac:dyDescent="0.35">
      <c r="A40" s="2">
        <v>35</v>
      </c>
      <c r="B40" s="16" t="s">
        <v>104</v>
      </c>
      <c r="C40" s="20" t="s">
        <v>105</v>
      </c>
      <c r="D40" s="47">
        <v>3</v>
      </c>
      <c r="E40" s="47">
        <v>3</v>
      </c>
      <c r="F40" s="47">
        <v>3</v>
      </c>
      <c r="G40" s="36">
        <f t="shared" si="9"/>
        <v>9</v>
      </c>
      <c r="H40" s="3">
        <v>3</v>
      </c>
      <c r="I40" s="3">
        <v>0</v>
      </c>
      <c r="J40" s="36">
        <f t="shared" si="10"/>
        <v>3</v>
      </c>
      <c r="K40" s="3">
        <v>3</v>
      </c>
      <c r="L40" s="36">
        <f t="shared" si="11"/>
        <v>3</v>
      </c>
      <c r="M40" s="3">
        <v>3</v>
      </c>
      <c r="N40" s="3">
        <v>3</v>
      </c>
      <c r="O40" s="38">
        <f t="shared" si="12"/>
        <v>6</v>
      </c>
      <c r="P40" s="41">
        <v>3</v>
      </c>
      <c r="Q40" s="42">
        <v>3</v>
      </c>
      <c r="R40" s="40">
        <f t="shared" si="13"/>
        <v>6</v>
      </c>
      <c r="S40" s="3">
        <v>3</v>
      </c>
      <c r="T40" s="3">
        <v>3</v>
      </c>
      <c r="U40" s="40">
        <f t="shared" si="14"/>
        <v>6</v>
      </c>
      <c r="V40" s="3">
        <v>3</v>
      </c>
      <c r="W40" s="3">
        <v>3</v>
      </c>
      <c r="X40" s="40">
        <f t="shared" si="15"/>
        <v>6</v>
      </c>
      <c r="AA40" s="22">
        <f t="shared" si="7"/>
        <v>39</v>
      </c>
      <c r="AB40" s="22">
        <f t="shared" si="8"/>
        <v>92.857142857142861</v>
      </c>
    </row>
    <row r="41" spans="1:28" ht="18" x14ac:dyDescent="0.35">
      <c r="A41" s="2">
        <v>36</v>
      </c>
      <c r="B41" s="16" t="s">
        <v>106</v>
      </c>
      <c r="C41" s="20" t="s">
        <v>107</v>
      </c>
      <c r="D41" s="47">
        <v>3</v>
      </c>
      <c r="E41" s="47">
        <v>3</v>
      </c>
      <c r="F41" s="47">
        <v>3</v>
      </c>
      <c r="G41" s="36">
        <f t="shared" si="9"/>
        <v>9</v>
      </c>
      <c r="H41" s="3">
        <v>3</v>
      </c>
      <c r="I41" s="3">
        <v>3</v>
      </c>
      <c r="J41" s="36">
        <f t="shared" si="10"/>
        <v>6</v>
      </c>
      <c r="K41" s="3">
        <v>0</v>
      </c>
      <c r="L41" s="36">
        <f t="shared" si="11"/>
        <v>0</v>
      </c>
      <c r="M41" s="3">
        <v>3</v>
      </c>
      <c r="N41" s="3">
        <v>3</v>
      </c>
      <c r="O41" s="38">
        <f t="shared" si="12"/>
        <v>6</v>
      </c>
      <c r="P41" s="41">
        <v>3</v>
      </c>
      <c r="Q41" s="42">
        <v>3</v>
      </c>
      <c r="R41" s="40">
        <f t="shared" si="13"/>
        <v>6</v>
      </c>
      <c r="S41" s="3">
        <v>3</v>
      </c>
      <c r="T41" s="3">
        <v>3</v>
      </c>
      <c r="U41" s="40">
        <f t="shared" si="14"/>
        <v>6</v>
      </c>
      <c r="V41" s="3">
        <v>3</v>
      </c>
      <c r="W41" s="3">
        <v>3</v>
      </c>
      <c r="X41" s="40">
        <f t="shared" si="15"/>
        <v>6</v>
      </c>
      <c r="AA41" s="22">
        <f t="shared" si="7"/>
        <v>39</v>
      </c>
      <c r="AB41" s="22">
        <f t="shared" si="8"/>
        <v>92.857142857142861</v>
      </c>
    </row>
    <row r="42" spans="1:28" ht="18" x14ac:dyDescent="0.35">
      <c r="A42" s="2">
        <v>37</v>
      </c>
      <c r="B42" s="16" t="s">
        <v>108</v>
      </c>
      <c r="C42" s="20" t="s">
        <v>109</v>
      </c>
      <c r="D42" s="47">
        <v>3</v>
      </c>
      <c r="E42" s="47">
        <v>3</v>
      </c>
      <c r="F42" s="47">
        <v>3</v>
      </c>
      <c r="G42" s="36">
        <f t="shared" si="9"/>
        <v>9</v>
      </c>
      <c r="H42" s="3">
        <v>3</v>
      </c>
      <c r="I42" s="3">
        <v>3</v>
      </c>
      <c r="J42" s="36">
        <f t="shared" si="10"/>
        <v>6</v>
      </c>
      <c r="K42" s="3">
        <v>3</v>
      </c>
      <c r="L42" s="36">
        <f t="shared" si="11"/>
        <v>3</v>
      </c>
      <c r="M42" s="3">
        <v>0</v>
      </c>
      <c r="N42" s="3">
        <v>3</v>
      </c>
      <c r="O42" s="38">
        <f t="shared" si="12"/>
        <v>3</v>
      </c>
      <c r="P42" s="41">
        <v>3</v>
      </c>
      <c r="Q42" s="42">
        <v>3</v>
      </c>
      <c r="R42" s="40">
        <f t="shared" si="13"/>
        <v>6</v>
      </c>
      <c r="S42" s="3">
        <v>3</v>
      </c>
      <c r="T42" s="3">
        <v>3</v>
      </c>
      <c r="U42" s="40">
        <f t="shared" si="14"/>
        <v>6</v>
      </c>
      <c r="V42" s="3">
        <v>3</v>
      </c>
      <c r="W42" s="3">
        <v>3</v>
      </c>
      <c r="X42" s="40">
        <f t="shared" si="15"/>
        <v>6</v>
      </c>
      <c r="AA42" s="22">
        <f t="shared" si="7"/>
        <v>39</v>
      </c>
      <c r="AB42" s="22">
        <f t="shared" si="8"/>
        <v>92.857142857142861</v>
      </c>
    </row>
    <row r="43" spans="1:28" ht="18" x14ac:dyDescent="0.35">
      <c r="A43" s="2">
        <v>38</v>
      </c>
      <c r="B43" s="16" t="s">
        <v>110</v>
      </c>
      <c r="C43" s="20" t="s">
        <v>111</v>
      </c>
      <c r="D43" s="47">
        <v>3</v>
      </c>
      <c r="E43" s="47">
        <v>3</v>
      </c>
      <c r="F43" s="47">
        <v>3</v>
      </c>
      <c r="G43" s="36">
        <f t="shared" si="9"/>
        <v>9</v>
      </c>
      <c r="H43" s="3">
        <v>3</v>
      </c>
      <c r="I43" s="3">
        <v>3</v>
      </c>
      <c r="J43" s="36">
        <f t="shared" si="10"/>
        <v>6</v>
      </c>
      <c r="K43" s="3">
        <v>3</v>
      </c>
      <c r="L43" s="36">
        <f t="shared" si="11"/>
        <v>3</v>
      </c>
      <c r="M43" s="3">
        <v>3</v>
      </c>
      <c r="N43" s="3">
        <v>0</v>
      </c>
      <c r="O43" s="38">
        <f t="shared" si="12"/>
        <v>3</v>
      </c>
      <c r="P43" s="41">
        <v>3</v>
      </c>
      <c r="Q43" s="42">
        <v>3</v>
      </c>
      <c r="R43" s="40">
        <f t="shared" si="13"/>
        <v>6</v>
      </c>
      <c r="S43" s="3">
        <v>3</v>
      </c>
      <c r="T43" s="3">
        <v>3</v>
      </c>
      <c r="U43" s="40">
        <f t="shared" si="14"/>
        <v>6</v>
      </c>
      <c r="V43" s="3">
        <v>3</v>
      </c>
      <c r="W43" s="3">
        <v>3</v>
      </c>
      <c r="X43" s="40">
        <f t="shared" si="15"/>
        <v>6</v>
      </c>
      <c r="AA43" s="22">
        <f t="shared" si="7"/>
        <v>39</v>
      </c>
      <c r="AB43" s="22">
        <f t="shared" si="8"/>
        <v>92.857142857142861</v>
      </c>
    </row>
    <row r="44" spans="1:28" ht="18" x14ac:dyDescent="0.35">
      <c r="A44" s="2">
        <v>39</v>
      </c>
      <c r="B44" s="16" t="s">
        <v>112</v>
      </c>
      <c r="C44" s="20" t="s">
        <v>113</v>
      </c>
      <c r="D44" s="47">
        <v>3</v>
      </c>
      <c r="E44" s="47">
        <v>3</v>
      </c>
      <c r="F44" s="47">
        <v>3</v>
      </c>
      <c r="G44" s="36">
        <f t="shared" si="9"/>
        <v>9</v>
      </c>
      <c r="H44" s="3">
        <v>3</v>
      </c>
      <c r="I44" s="3">
        <v>3</v>
      </c>
      <c r="J44" s="36">
        <f t="shared" si="10"/>
        <v>6</v>
      </c>
      <c r="K44" s="3">
        <v>3</v>
      </c>
      <c r="L44" s="36">
        <f t="shared" si="11"/>
        <v>3</v>
      </c>
      <c r="M44" s="3">
        <v>0</v>
      </c>
      <c r="N44" s="3">
        <v>3</v>
      </c>
      <c r="O44" s="38">
        <f t="shared" si="12"/>
        <v>3</v>
      </c>
      <c r="P44" s="41">
        <v>3</v>
      </c>
      <c r="Q44" s="42">
        <v>3</v>
      </c>
      <c r="R44" s="40">
        <f t="shared" si="13"/>
        <v>6</v>
      </c>
      <c r="S44" s="3">
        <v>3</v>
      </c>
      <c r="T44" s="3">
        <v>3</v>
      </c>
      <c r="U44" s="40">
        <f t="shared" si="14"/>
        <v>6</v>
      </c>
      <c r="V44" s="3">
        <v>3</v>
      </c>
      <c r="W44" s="3">
        <v>3</v>
      </c>
      <c r="X44" s="40">
        <f t="shared" si="15"/>
        <v>6</v>
      </c>
      <c r="AA44" s="22">
        <f t="shared" si="7"/>
        <v>39</v>
      </c>
      <c r="AB44" s="22">
        <f t="shared" si="8"/>
        <v>92.857142857142861</v>
      </c>
    </row>
    <row r="45" spans="1:28" ht="18" x14ac:dyDescent="0.35">
      <c r="A45" s="2">
        <v>40</v>
      </c>
      <c r="B45" s="16" t="s">
        <v>114</v>
      </c>
      <c r="C45" s="20" t="s">
        <v>115</v>
      </c>
      <c r="D45" s="47">
        <v>3</v>
      </c>
      <c r="E45" s="47">
        <v>3</v>
      </c>
      <c r="F45" s="47">
        <v>3</v>
      </c>
      <c r="G45" s="36">
        <f t="shared" si="9"/>
        <v>9</v>
      </c>
      <c r="H45" s="3">
        <v>3</v>
      </c>
      <c r="I45" s="3">
        <v>3</v>
      </c>
      <c r="J45" s="36">
        <f t="shared" si="10"/>
        <v>6</v>
      </c>
      <c r="K45" s="3">
        <v>0</v>
      </c>
      <c r="L45" s="36">
        <f t="shared" si="11"/>
        <v>0</v>
      </c>
      <c r="M45" s="3">
        <v>3</v>
      </c>
      <c r="N45" s="3">
        <v>3</v>
      </c>
      <c r="O45" s="38">
        <f t="shared" si="12"/>
        <v>6</v>
      </c>
      <c r="P45" s="41">
        <v>3</v>
      </c>
      <c r="Q45" s="42">
        <v>3</v>
      </c>
      <c r="R45" s="40">
        <f t="shared" si="13"/>
        <v>6</v>
      </c>
      <c r="S45" s="3">
        <v>3</v>
      </c>
      <c r="T45" s="3">
        <v>3</v>
      </c>
      <c r="U45" s="40">
        <f t="shared" si="14"/>
        <v>6</v>
      </c>
      <c r="V45" s="3">
        <v>3</v>
      </c>
      <c r="W45" s="3">
        <v>3</v>
      </c>
      <c r="X45" s="40">
        <f t="shared" si="15"/>
        <v>6</v>
      </c>
      <c r="AA45" s="22">
        <f t="shared" si="7"/>
        <v>39</v>
      </c>
      <c r="AB45" s="22">
        <f t="shared" si="8"/>
        <v>92.857142857142861</v>
      </c>
    </row>
    <row r="46" spans="1:28" ht="18" x14ac:dyDescent="0.35">
      <c r="A46" s="2">
        <v>41</v>
      </c>
      <c r="B46" s="16" t="s">
        <v>116</v>
      </c>
      <c r="C46" s="20" t="s">
        <v>117</v>
      </c>
      <c r="D46" s="47">
        <v>3</v>
      </c>
      <c r="E46" s="47">
        <v>3</v>
      </c>
      <c r="F46" s="47">
        <v>3</v>
      </c>
      <c r="G46" s="36">
        <f t="shared" si="9"/>
        <v>9</v>
      </c>
      <c r="H46" s="3">
        <v>3</v>
      </c>
      <c r="I46" s="3">
        <v>0</v>
      </c>
      <c r="J46" s="36">
        <f t="shared" si="10"/>
        <v>3</v>
      </c>
      <c r="K46" s="3">
        <v>3</v>
      </c>
      <c r="L46" s="36">
        <f t="shared" si="11"/>
        <v>3</v>
      </c>
      <c r="M46" s="3">
        <v>3</v>
      </c>
      <c r="N46" s="3">
        <v>3</v>
      </c>
      <c r="O46" s="38">
        <f t="shared" si="12"/>
        <v>6</v>
      </c>
      <c r="P46" s="41">
        <v>3</v>
      </c>
      <c r="Q46" s="42">
        <v>3</v>
      </c>
      <c r="R46" s="40">
        <f t="shared" si="13"/>
        <v>6</v>
      </c>
      <c r="S46" s="3">
        <v>3</v>
      </c>
      <c r="T46" s="3">
        <v>3</v>
      </c>
      <c r="U46" s="40">
        <f t="shared" si="14"/>
        <v>6</v>
      </c>
      <c r="V46" s="3">
        <v>3</v>
      </c>
      <c r="W46" s="3">
        <v>3</v>
      </c>
      <c r="X46" s="40">
        <f t="shared" si="15"/>
        <v>6</v>
      </c>
      <c r="AA46" s="22">
        <f t="shared" si="7"/>
        <v>39</v>
      </c>
      <c r="AB46" s="22">
        <f t="shared" si="8"/>
        <v>92.857142857142861</v>
      </c>
    </row>
    <row r="47" spans="1:28" ht="18" x14ac:dyDescent="0.35">
      <c r="A47" s="2">
        <v>42</v>
      </c>
      <c r="B47" s="16" t="s">
        <v>118</v>
      </c>
      <c r="C47" s="20" t="s">
        <v>119</v>
      </c>
      <c r="D47" s="47">
        <v>3</v>
      </c>
      <c r="E47" s="47">
        <v>3</v>
      </c>
      <c r="F47" s="47">
        <v>3</v>
      </c>
      <c r="G47" s="36">
        <f t="shared" si="9"/>
        <v>9</v>
      </c>
      <c r="H47" s="3">
        <v>0</v>
      </c>
      <c r="I47" s="3">
        <v>3</v>
      </c>
      <c r="J47" s="36">
        <f t="shared" si="10"/>
        <v>3</v>
      </c>
      <c r="K47" s="3">
        <v>3</v>
      </c>
      <c r="L47" s="36">
        <f t="shared" si="11"/>
        <v>3</v>
      </c>
      <c r="M47" s="3">
        <v>3</v>
      </c>
      <c r="N47" s="3">
        <v>3</v>
      </c>
      <c r="O47" s="38">
        <f t="shared" si="12"/>
        <v>6</v>
      </c>
      <c r="P47" s="41">
        <v>3</v>
      </c>
      <c r="Q47" s="42">
        <v>3</v>
      </c>
      <c r="R47" s="40">
        <f t="shared" si="13"/>
        <v>6</v>
      </c>
      <c r="S47" s="3">
        <v>3</v>
      </c>
      <c r="T47" s="3">
        <v>3</v>
      </c>
      <c r="U47" s="40">
        <f t="shared" si="14"/>
        <v>6</v>
      </c>
      <c r="V47" s="3">
        <v>3</v>
      </c>
      <c r="W47" s="3">
        <v>3</v>
      </c>
      <c r="X47" s="40">
        <f t="shared" si="15"/>
        <v>6</v>
      </c>
      <c r="AA47" s="22">
        <f t="shared" si="7"/>
        <v>39</v>
      </c>
      <c r="AB47" s="22">
        <f t="shared" si="8"/>
        <v>92.857142857142861</v>
      </c>
    </row>
    <row r="48" spans="1:28" ht="18" x14ac:dyDescent="0.35">
      <c r="A48" s="2">
        <v>43</v>
      </c>
      <c r="B48" s="16" t="s">
        <v>120</v>
      </c>
      <c r="C48" s="20" t="s">
        <v>121</v>
      </c>
      <c r="D48" s="47">
        <v>3</v>
      </c>
      <c r="E48" s="47">
        <v>3</v>
      </c>
      <c r="F48" s="47">
        <v>0</v>
      </c>
      <c r="G48" s="36">
        <f t="shared" si="9"/>
        <v>6</v>
      </c>
      <c r="H48" s="3">
        <v>3</v>
      </c>
      <c r="I48" s="3">
        <v>3</v>
      </c>
      <c r="J48" s="36">
        <f t="shared" si="10"/>
        <v>6</v>
      </c>
      <c r="K48" s="3">
        <v>3</v>
      </c>
      <c r="L48" s="36">
        <f t="shared" si="11"/>
        <v>3</v>
      </c>
      <c r="M48" s="3">
        <v>3</v>
      </c>
      <c r="N48" s="3">
        <v>3</v>
      </c>
      <c r="O48" s="38">
        <f t="shared" si="12"/>
        <v>6</v>
      </c>
      <c r="P48" s="41">
        <v>3</v>
      </c>
      <c r="Q48" s="42">
        <v>3</v>
      </c>
      <c r="R48" s="40">
        <f t="shared" si="13"/>
        <v>6</v>
      </c>
      <c r="S48" s="3">
        <v>3</v>
      </c>
      <c r="T48" s="3">
        <v>3</v>
      </c>
      <c r="U48" s="40">
        <f t="shared" si="14"/>
        <v>6</v>
      </c>
      <c r="V48" s="3">
        <v>3</v>
      </c>
      <c r="W48" s="3">
        <v>3</v>
      </c>
      <c r="X48" s="40">
        <f t="shared" si="15"/>
        <v>6</v>
      </c>
      <c r="AA48" s="22">
        <f t="shared" si="7"/>
        <v>39</v>
      </c>
      <c r="AB48" s="22">
        <f t="shared" si="8"/>
        <v>92.857142857142861</v>
      </c>
    </row>
    <row r="49" spans="1:28" ht="18" x14ac:dyDescent="0.35">
      <c r="A49" s="2">
        <v>44</v>
      </c>
      <c r="B49" s="16" t="s">
        <v>122</v>
      </c>
      <c r="C49" s="20" t="s">
        <v>123</v>
      </c>
      <c r="D49" s="47">
        <v>3</v>
      </c>
      <c r="E49" s="47">
        <v>0</v>
      </c>
      <c r="F49" s="47">
        <v>3</v>
      </c>
      <c r="G49" s="36">
        <f t="shared" si="9"/>
        <v>6</v>
      </c>
      <c r="H49" s="3">
        <v>3</v>
      </c>
      <c r="I49" s="3">
        <v>3</v>
      </c>
      <c r="J49" s="36">
        <f t="shared" si="10"/>
        <v>6</v>
      </c>
      <c r="K49" s="3">
        <v>3</v>
      </c>
      <c r="L49" s="36">
        <f t="shared" si="11"/>
        <v>3</v>
      </c>
      <c r="M49" s="3">
        <v>3</v>
      </c>
      <c r="N49" s="3">
        <v>3</v>
      </c>
      <c r="O49" s="38">
        <f t="shared" si="12"/>
        <v>6</v>
      </c>
      <c r="P49" s="41">
        <v>3</v>
      </c>
      <c r="Q49" s="42">
        <v>3</v>
      </c>
      <c r="R49" s="40">
        <f t="shared" si="13"/>
        <v>6</v>
      </c>
      <c r="S49" s="3">
        <v>3</v>
      </c>
      <c r="T49" s="3">
        <v>3</v>
      </c>
      <c r="U49" s="40">
        <f t="shared" si="14"/>
        <v>6</v>
      </c>
      <c r="V49" s="3">
        <v>3</v>
      </c>
      <c r="W49" s="3">
        <v>3</v>
      </c>
      <c r="X49" s="40">
        <f t="shared" si="15"/>
        <v>6</v>
      </c>
      <c r="AA49" s="22">
        <f t="shared" si="7"/>
        <v>39</v>
      </c>
      <c r="AB49" s="22">
        <f t="shared" si="8"/>
        <v>92.857142857142861</v>
      </c>
    </row>
    <row r="50" spans="1:28" ht="18" x14ac:dyDescent="0.35">
      <c r="A50" s="2">
        <v>45</v>
      </c>
      <c r="B50" s="16" t="s">
        <v>124</v>
      </c>
      <c r="C50" s="20" t="s">
        <v>125</v>
      </c>
      <c r="D50" s="47">
        <v>3</v>
      </c>
      <c r="E50" s="47">
        <v>3</v>
      </c>
      <c r="F50" s="47">
        <v>3</v>
      </c>
      <c r="G50" s="36">
        <f t="shared" si="9"/>
        <v>9</v>
      </c>
      <c r="H50" s="3">
        <v>3</v>
      </c>
      <c r="I50" s="3">
        <v>3</v>
      </c>
      <c r="J50" s="36">
        <f t="shared" si="10"/>
        <v>6</v>
      </c>
      <c r="K50" s="3">
        <v>3</v>
      </c>
      <c r="L50" s="36">
        <f t="shared" si="11"/>
        <v>3</v>
      </c>
      <c r="M50" s="3">
        <v>0</v>
      </c>
      <c r="N50" s="3">
        <v>0</v>
      </c>
      <c r="O50" s="38">
        <f t="shared" si="12"/>
        <v>0</v>
      </c>
      <c r="P50" s="41">
        <v>3</v>
      </c>
      <c r="Q50" s="42">
        <v>3</v>
      </c>
      <c r="R50" s="40">
        <f t="shared" si="13"/>
        <v>6</v>
      </c>
      <c r="S50" s="3">
        <v>3</v>
      </c>
      <c r="T50" s="3">
        <v>3</v>
      </c>
      <c r="U50" s="40">
        <f t="shared" si="14"/>
        <v>6</v>
      </c>
      <c r="V50" s="3">
        <v>0</v>
      </c>
      <c r="W50" s="3">
        <v>3</v>
      </c>
      <c r="X50" s="40">
        <f t="shared" si="15"/>
        <v>3</v>
      </c>
      <c r="AA50" s="22">
        <f t="shared" si="7"/>
        <v>33</v>
      </c>
      <c r="AB50" s="22">
        <f t="shared" si="8"/>
        <v>78.571428571428569</v>
      </c>
    </row>
    <row r="51" spans="1:28" ht="18" x14ac:dyDescent="0.35">
      <c r="A51" s="2">
        <v>46</v>
      </c>
      <c r="B51" s="16" t="s">
        <v>126</v>
      </c>
      <c r="C51" s="20" t="s">
        <v>127</v>
      </c>
      <c r="D51" s="47">
        <v>3</v>
      </c>
      <c r="E51" s="47">
        <v>3</v>
      </c>
      <c r="F51" s="47">
        <v>3</v>
      </c>
      <c r="G51" s="36">
        <f t="shared" si="9"/>
        <v>9</v>
      </c>
      <c r="H51" s="3">
        <v>3</v>
      </c>
      <c r="I51" s="3">
        <v>3</v>
      </c>
      <c r="J51" s="36">
        <f t="shared" si="10"/>
        <v>6</v>
      </c>
      <c r="K51" s="3">
        <v>3</v>
      </c>
      <c r="L51" s="36">
        <f t="shared" si="11"/>
        <v>3</v>
      </c>
      <c r="M51" s="3">
        <v>0</v>
      </c>
      <c r="N51" s="3">
        <v>0</v>
      </c>
      <c r="O51" s="38">
        <f t="shared" si="12"/>
        <v>0</v>
      </c>
      <c r="P51" s="41">
        <v>3</v>
      </c>
      <c r="Q51" s="42">
        <v>3</v>
      </c>
      <c r="R51" s="40">
        <f t="shared" si="13"/>
        <v>6</v>
      </c>
      <c r="S51" s="3">
        <v>0</v>
      </c>
      <c r="T51" s="3">
        <v>3</v>
      </c>
      <c r="U51" s="40">
        <f t="shared" si="14"/>
        <v>3</v>
      </c>
      <c r="V51" s="3">
        <v>3</v>
      </c>
      <c r="W51" s="3">
        <v>3</v>
      </c>
      <c r="X51" s="40">
        <f t="shared" si="15"/>
        <v>6</v>
      </c>
      <c r="AA51" s="22">
        <f t="shared" si="7"/>
        <v>33</v>
      </c>
      <c r="AB51" s="22">
        <f t="shared" si="8"/>
        <v>78.571428571428569</v>
      </c>
    </row>
    <row r="52" spans="1:28" ht="18" x14ac:dyDescent="0.35">
      <c r="A52" s="2">
        <v>47</v>
      </c>
      <c r="B52" s="16" t="s">
        <v>128</v>
      </c>
      <c r="C52" s="20" t="s">
        <v>129</v>
      </c>
      <c r="D52" s="47">
        <v>3</v>
      </c>
      <c r="E52" s="47">
        <v>0</v>
      </c>
      <c r="F52" s="47">
        <v>3</v>
      </c>
      <c r="G52" s="36">
        <f t="shared" si="9"/>
        <v>6</v>
      </c>
      <c r="H52" s="3">
        <v>3</v>
      </c>
      <c r="I52" s="3">
        <v>3</v>
      </c>
      <c r="J52" s="36">
        <f t="shared" si="10"/>
        <v>6</v>
      </c>
      <c r="K52" s="3">
        <v>3</v>
      </c>
      <c r="L52" s="36">
        <f t="shared" si="11"/>
        <v>3</v>
      </c>
      <c r="M52" s="3">
        <v>3</v>
      </c>
      <c r="N52" s="3">
        <v>3</v>
      </c>
      <c r="O52" s="38">
        <f t="shared" si="12"/>
        <v>6</v>
      </c>
      <c r="P52" s="41">
        <v>3</v>
      </c>
      <c r="Q52" s="42">
        <v>3</v>
      </c>
      <c r="R52" s="40">
        <f t="shared" si="13"/>
        <v>6</v>
      </c>
      <c r="S52" s="3">
        <v>3</v>
      </c>
      <c r="T52" s="3">
        <v>3</v>
      </c>
      <c r="U52" s="40">
        <f t="shared" si="14"/>
        <v>6</v>
      </c>
      <c r="V52" s="3">
        <v>3</v>
      </c>
      <c r="W52" s="3">
        <v>3</v>
      </c>
      <c r="X52" s="40">
        <f t="shared" si="15"/>
        <v>6</v>
      </c>
      <c r="AA52" s="22">
        <f t="shared" si="7"/>
        <v>39</v>
      </c>
      <c r="AB52" s="22">
        <f t="shared" si="8"/>
        <v>92.857142857142861</v>
      </c>
    </row>
    <row r="53" spans="1:28" ht="18" x14ac:dyDescent="0.35">
      <c r="A53" s="2">
        <v>48</v>
      </c>
      <c r="B53" s="16" t="s">
        <v>130</v>
      </c>
      <c r="C53" s="20" t="s">
        <v>131</v>
      </c>
      <c r="D53" s="47">
        <v>3</v>
      </c>
      <c r="E53" s="47">
        <v>3</v>
      </c>
      <c r="F53" s="47">
        <v>0</v>
      </c>
      <c r="G53" s="36">
        <f t="shared" si="9"/>
        <v>6</v>
      </c>
      <c r="H53" s="3">
        <v>3</v>
      </c>
      <c r="I53" s="3">
        <v>3</v>
      </c>
      <c r="J53" s="36">
        <f t="shared" si="10"/>
        <v>6</v>
      </c>
      <c r="K53" s="3">
        <v>3</v>
      </c>
      <c r="L53" s="36">
        <f t="shared" si="11"/>
        <v>3</v>
      </c>
      <c r="M53" s="3">
        <v>3</v>
      </c>
      <c r="N53" s="3">
        <v>3</v>
      </c>
      <c r="O53" s="38">
        <f t="shared" si="12"/>
        <v>6</v>
      </c>
      <c r="P53" s="41">
        <v>3</v>
      </c>
      <c r="Q53" s="42">
        <v>3</v>
      </c>
      <c r="R53" s="40">
        <f t="shared" si="13"/>
        <v>6</v>
      </c>
      <c r="S53" s="3">
        <v>3</v>
      </c>
      <c r="T53" s="3">
        <v>3</v>
      </c>
      <c r="U53" s="40">
        <f t="shared" si="14"/>
        <v>6</v>
      </c>
      <c r="V53" s="3">
        <v>3</v>
      </c>
      <c r="W53" s="3">
        <v>3</v>
      </c>
      <c r="X53" s="40">
        <f t="shared" si="15"/>
        <v>6</v>
      </c>
      <c r="AA53" s="22">
        <f t="shared" si="7"/>
        <v>39</v>
      </c>
      <c r="AB53" s="22">
        <f t="shared" si="8"/>
        <v>92.857142857142861</v>
      </c>
    </row>
    <row r="54" spans="1:28" ht="18" x14ac:dyDescent="0.35">
      <c r="A54" s="2">
        <v>49</v>
      </c>
      <c r="B54" s="16" t="s">
        <v>132</v>
      </c>
      <c r="C54" s="20" t="s">
        <v>133</v>
      </c>
      <c r="D54" s="47">
        <v>3</v>
      </c>
      <c r="E54" s="47">
        <v>3</v>
      </c>
      <c r="F54" s="47">
        <v>3</v>
      </c>
      <c r="G54" s="36">
        <f t="shared" si="9"/>
        <v>9</v>
      </c>
      <c r="H54" s="3">
        <v>0</v>
      </c>
      <c r="I54" s="3">
        <v>3</v>
      </c>
      <c r="J54" s="36">
        <f t="shared" si="10"/>
        <v>3</v>
      </c>
      <c r="K54" s="3">
        <v>3</v>
      </c>
      <c r="L54" s="36">
        <f t="shared" si="11"/>
        <v>3</v>
      </c>
      <c r="M54" s="3">
        <v>3</v>
      </c>
      <c r="N54" s="3">
        <v>3</v>
      </c>
      <c r="O54" s="38">
        <f t="shared" si="12"/>
        <v>6</v>
      </c>
      <c r="P54" s="41">
        <v>3</v>
      </c>
      <c r="Q54" s="42">
        <v>3</v>
      </c>
      <c r="R54" s="40">
        <f t="shared" si="13"/>
        <v>6</v>
      </c>
      <c r="S54" s="3">
        <v>3</v>
      </c>
      <c r="T54" s="3">
        <v>3</v>
      </c>
      <c r="U54" s="40">
        <f t="shared" si="14"/>
        <v>6</v>
      </c>
      <c r="V54" s="3">
        <v>3</v>
      </c>
      <c r="W54" s="3">
        <v>3</v>
      </c>
      <c r="X54" s="40">
        <f t="shared" si="15"/>
        <v>6</v>
      </c>
      <c r="AA54" s="22">
        <f t="shared" si="7"/>
        <v>39</v>
      </c>
      <c r="AB54" s="22">
        <f t="shared" si="8"/>
        <v>92.857142857142861</v>
      </c>
    </row>
    <row r="55" spans="1:28" ht="18" x14ac:dyDescent="0.35">
      <c r="A55" s="2">
        <v>50</v>
      </c>
      <c r="B55" s="16" t="s">
        <v>134</v>
      </c>
      <c r="C55" s="20" t="s">
        <v>135</v>
      </c>
      <c r="D55" s="47">
        <v>3</v>
      </c>
      <c r="E55" s="47">
        <v>3</v>
      </c>
      <c r="F55" s="47">
        <v>3</v>
      </c>
      <c r="G55" s="36">
        <f t="shared" si="9"/>
        <v>9</v>
      </c>
      <c r="H55" s="3">
        <v>3</v>
      </c>
      <c r="I55" s="3">
        <v>0</v>
      </c>
      <c r="J55" s="36">
        <f t="shared" si="10"/>
        <v>3</v>
      </c>
      <c r="K55" s="3">
        <v>3</v>
      </c>
      <c r="L55" s="36">
        <f t="shared" si="11"/>
        <v>3</v>
      </c>
      <c r="M55" s="3">
        <v>3</v>
      </c>
      <c r="N55" s="3">
        <v>3</v>
      </c>
      <c r="O55" s="38">
        <f t="shared" si="12"/>
        <v>6</v>
      </c>
      <c r="P55" s="41">
        <v>3</v>
      </c>
      <c r="Q55" s="42">
        <v>3</v>
      </c>
      <c r="R55" s="40">
        <f t="shared" si="13"/>
        <v>6</v>
      </c>
      <c r="S55" s="3">
        <v>3</v>
      </c>
      <c r="T55" s="3">
        <v>3</v>
      </c>
      <c r="U55" s="40">
        <f t="shared" si="14"/>
        <v>6</v>
      </c>
      <c r="V55" s="3">
        <v>3</v>
      </c>
      <c r="W55" s="3">
        <v>3</v>
      </c>
      <c r="X55" s="40">
        <f t="shared" si="15"/>
        <v>6</v>
      </c>
      <c r="AA55" s="22">
        <f t="shared" si="7"/>
        <v>39</v>
      </c>
      <c r="AB55" s="22">
        <f t="shared" si="8"/>
        <v>92.857142857142861</v>
      </c>
    </row>
    <row r="56" spans="1:28" ht="18" x14ac:dyDescent="0.35">
      <c r="A56" s="2">
        <v>51</v>
      </c>
      <c r="B56" s="16" t="s">
        <v>136</v>
      </c>
      <c r="C56" s="20" t="s">
        <v>137</v>
      </c>
      <c r="D56" s="47">
        <v>3</v>
      </c>
      <c r="E56" s="47">
        <v>3</v>
      </c>
      <c r="F56" s="47">
        <v>3</v>
      </c>
      <c r="G56" s="36">
        <f t="shared" si="9"/>
        <v>9</v>
      </c>
      <c r="H56" s="3">
        <v>3</v>
      </c>
      <c r="I56" s="3">
        <v>3</v>
      </c>
      <c r="J56" s="36">
        <f t="shared" si="10"/>
        <v>6</v>
      </c>
      <c r="K56" s="3">
        <v>0</v>
      </c>
      <c r="L56" s="36">
        <f t="shared" si="11"/>
        <v>0</v>
      </c>
      <c r="M56" s="3">
        <v>3</v>
      </c>
      <c r="N56" s="3">
        <v>3</v>
      </c>
      <c r="O56" s="38">
        <f t="shared" si="12"/>
        <v>6</v>
      </c>
      <c r="P56" s="41">
        <v>3</v>
      </c>
      <c r="Q56" s="42">
        <v>3</v>
      </c>
      <c r="R56" s="40">
        <f t="shared" si="13"/>
        <v>6</v>
      </c>
      <c r="S56" s="3">
        <v>3</v>
      </c>
      <c r="T56" s="3">
        <v>3</v>
      </c>
      <c r="U56" s="40">
        <f t="shared" si="14"/>
        <v>6</v>
      </c>
      <c r="V56" s="3">
        <v>3</v>
      </c>
      <c r="W56" s="3">
        <v>3</v>
      </c>
      <c r="X56" s="40">
        <f t="shared" si="15"/>
        <v>6</v>
      </c>
      <c r="AA56" s="22">
        <f t="shared" si="7"/>
        <v>39</v>
      </c>
      <c r="AB56" s="22">
        <f t="shared" si="8"/>
        <v>92.857142857142861</v>
      </c>
    </row>
    <row r="57" spans="1:28" ht="18" x14ac:dyDescent="0.35">
      <c r="A57" s="2">
        <v>52</v>
      </c>
      <c r="B57" s="16" t="s">
        <v>138</v>
      </c>
      <c r="C57" s="20" t="s">
        <v>139</v>
      </c>
      <c r="D57" s="47">
        <v>3</v>
      </c>
      <c r="E57" s="47">
        <v>3</v>
      </c>
      <c r="F57" s="47">
        <v>3</v>
      </c>
      <c r="G57" s="36">
        <f t="shared" si="9"/>
        <v>9</v>
      </c>
      <c r="H57" s="3">
        <v>3</v>
      </c>
      <c r="I57" s="3">
        <v>3</v>
      </c>
      <c r="J57" s="36">
        <f t="shared" si="10"/>
        <v>6</v>
      </c>
      <c r="K57" s="3">
        <v>3</v>
      </c>
      <c r="L57" s="36">
        <f t="shared" si="11"/>
        <v>3</v>
      </c>
      <c r="M57" s="3">
        <v>0</v>
      </c>
      <c r="N57" s="3">
        <v>3</v>
      </c>
      <c r="O57" s="38">
        <f t="shared" si="12"/>
        <v>3</v>
      </c>
      <c r="P57" s="41">
        <v>3</v>
      </c>
      <c r="Q57" s="42">
        <v>3</v>
      </c>
      <c r="R57" s="40">
        <f t="shared" si="13"/>
        <v>6</v>
      </c>
      <c r="S57" s="3">
        <v>3</v>
      </c>
      <c r="T57" s="3">
        <v>3</v>
      </c>
      <c r="U57" s="40">
        <f t="shared" si="14"/>
        <v>6</v>
      </c>
      <c r="V57" s="3">
        <v>3</v>
      </c>
      <c r="W57" s="3">
        <v>3</v>
      </c>
      <c r="X57" s="40">
        <f t="shared" si="15"/>
        <v>6</v>
      </c>
      <c r="AA57" s="22">
        <f t="shared" si="7"/>
        <v>39</v>
      </c>
      <c r="AB57" s="22">
        <f t="shared" si="8"/>
        <v>92.857142857142861</v>
      </c>
    </row>
    <row r="58" spans="1:28" ht="18" x14ac:dyDescent="0.35">
      <c r="A58" s="2">
        <v>53</v>
      </c>
      <c r="B58" s="16" t="s">
        <v>140</v>
      </c>
      <c r="C58" s="20" t="s">
        <v>141</v>
      </c>
      <c r="D58" s="47">
        <v>3</v>
      </c>
      <c r="E58" s="47">
        <v>3</v>
      </c>
      <c r="F58" s="47">
        <v>3</v>
      </c>
      <c r="G58" s="36">
        <f t="shared" si="9"/>
        <v>9</v>
      </c>
      <c r="H58" s="3">
        <v>3</v>
      </c>
      <c r="I58" s="3">
        <v>3</v>
      </c>
      <c r="J58" s="36">
        <f t="shared" si="10"/>
        <v>6</v>
      </c>
      <c r="K58" s="3">
        <v>3</v>
      </c>
      <c r="L58" s="36">
        <f t="shared" si="11"/>
        <v>3</v>
      </c>
      <c r="M58" s="3">
        <v>3</v>
      </c>
      <c r="N58" s="3">
        <v>0</v>
      </c>
      <c r="O58" s="38">
        <f t="shared" si="12"/>
        <v>3</v>
      </c>
      <c r="P58" s="41">
        <v>3</v>
      </c>
      <c r="Q58" s="42">
        <v>3</v>
      </c>
      <c r="R58" s="40">
        <f t="shared" si="13"/>
        <v>6</v>
      </c>
      <c r="S58" s="3">
        <v>3</v>
      </c>
      <c r="T58" s="3">
        <v>3</v>
      </c>
      <c r="U58" s="40">
        <f t="shared" si="14"/>
        <v>6</v>
      </c>
      <c r="V58" s="3">
        <v>3</v>
      </c>
      <c r="W58" s="3">
        <v>3</v>
      </c>
      <c r="X58" s="40">
        <f t="shared" si="15"/>
        <v>6</v>
      </c>
      <c r="AA58" s="22">
        <f t="shared" si="7"/>
        <v>39</v>
      </c>
      <c r="AB58" s="22">
        <f t="shared" si="8"/>
        <v>92.857142857142861</v>
      </c>
    </row>
    <row r="59" spans="1:28" ht="18" x14ac:dyDescent="0.35">
      <c r="A59" s="2">
        <v>54</v>
      </c>
      <c r="B59" s="16" t="s">
        <v>142</v>
      </c>
      <c r="C59" s="20" t="s">
        <v>143</v>
      </c>
      <c r="D59" s="47">
        <v>3</v>
      </c>
      <c r="E59" s="47">
        <v>3</v>
      </c>
      <c r="F59" s="47">
        <v>3</v>
      </c>
      <c r="G59" s="36">
        <f t="shared" si="9"/>
        <v>9</v>
      </c>
      <c r="H59" s="3">
        <v>3</v>
      </c>
      <c r="I59" s="3">
        <v>3</v>
      </c>
      <c r="J59" s="36">
        <f t="shared" si="10"/>
        <v>6</v>
      </c>
      <c r="K59" s="3">
        <v>3</v>
      </c>
      <c r="L59" s="36">
        <f t="shared" si="11"/>
        <v>3</v>
      </c>
      <c r="M59" s="3">
        <v>0</v>
      </c>
      <c r="N59" s="3">
        <v>3</v>
      </c>
      <c r="O59" s="38">
        <f t="shared" si="12"/>
        <v>3</v>
      </c>
      <c r="P59" s="41">
        <v>3</v>
      </c>
      <c r="Q59" s="42">
        <v>3</v>
      </c>
      <c r="R59" s="40">
        <f t="shared" si="13"/>
        <v>6</v>
      </c>
      <c r="S59" s="3">
        <v>3</v>
      </c>
      <c r="T59" s="3">
        <v>3</v>
      </c>
      <c r="U59" s="40">
        <f t="shared" si="14"/>
        <v>6</v>
      </c>
      <c r="V59" s="3">
        <v>3</v>
      </c>
      <c r="W59" s="3">
        <v>3</v>
      </c>
      <c r="X59" s="40">
        <f t="shared" si="15"/>
        <v>6</v>
      </c>
      <c r="AA59" s="22">
        <f t="shared" si="7"/>
        <v>39</v>
      </c>
      <c r="AB59" s="22">
        <f t="shared" si="8"/>
        <v>92.857142857142861</v>
      </c>
    </row>
    <row r="60" spans="1:28" ht="18" x14ac:dyDescent="0.35">
      <c r="A60" s="2">
        <v>55</v>
      </c>
      <c r="B60" s="16" t="s">
        <v>144</v>
      </c>
      <c r="C60" s="20" t="s">
        <v>145</v>
      </c>
      <c r="D60" s="47">
        <v>3</v>
      </c>
      <c r="E60" s="47">
        <v>3</v>
      </c>
      <c r="F60" s="47">
        <v>3</v>
      </c>
      <c r="G60" s="36">
        <f t="shared" si="9"/>
        <v>9</v>
      </c>
      <c r="H60" s="3">
        <v>3</v>
      </c>
      <c r="I60" s="3">
        <v>3</v>
      </c>
      <c r="J60" s="36">
        <f t="shared" si="10"/>
        <v>6</v>
      </c>
      <c r="K60" s="3">
        <v>0</v>
      </c>
      <c r="L60" s="36">
        <f t="shared" si="11"/>
        <v>0</v>
      </c>
      <c r="M60" s="3">
        <v>3</v>
      </c>
      <c r="N60" s="3">
        <v>3</v>
      </c>
      <c r="O60" s="38">
        <f t="shared" si="12"/>
        <v>6</v>
      </c>
      <c r="P60" s="41">
        <v>3</v>
      </c>
      <c r="Q60" s="42">
        <v>3</v>
      </c>
      <c r="R60" s="40">
        <f t="shared" si="13"/>
        <v>6</v>
      </c>
      <c r="S60" s="3">
        <v>3</v>
      </c>
      <c r="T60" s="3">
        <v>3</v>
      </c>
      <c r="U60" s="40">
        <f t="shared" si="14"/>
        <v>6</v>
      </c>
      <c r="V60" s="3">
        <v>3</v>
      </c>
      <c r="W60" s="3">
        <v>3</v>
      </c>
      <c r="X60" s="40">
        <f t="shared" si="15"/>
        <v>6</v>
      </c>
      <c r="AA60" s="22">
        <f t="shared" si="7"/>
        <v>39</v>
      </c>
      <c r="AB60" s="22">
        <f t="shared" si="8"/>
        <v>92.857142857142861</v>
      </c>
    </row>
    <row r="61" spans="1:28" ht="18" x14ac:dyDescent="0.35">
      <c r="A61" s="2">
        <v>56</v>
      </c>
      <c r="B61" s="16" t="s">
        <v>146</v>
      </c>
      <c r="C61" s="20" t="s">
        <v>147</v>
      </c>
      <c r="D61" s="47">
        <v>3</v>
      </c>
      <c r="E61" s="47">
        <v>3</v>
      </c>
      <c r="F61" s="47">
        <v>3</v>
      </c>
      <c r="G61" s="36">
        <f t="shared" si="9"/>
        <v>9</v>
      </c>
      <c r="H61" s="3">
        <v>3</v>
      </c>
      <c r="I61" s="3">
        <v>0</v>
      </c>
      <c r="J61" s="36">
        <f t="shared" si="10"/>
        <v>3</v>
      </c>
      <c r="K61" s="3">
        <v>3</v>
      </c>
      <c r="L61" s="36">
        <f t="shared" si="11"/>
        <v>3</v>
      </c>
      <c r="M61" s="3">
        <v>3</v>
      </c>
      <c r="N61" s="3">
        <v>3</v>
      </c>
      <c r="O61" s="38">
        <f t="shared" si="12"/>
        <v>6</v>
      </c>
      <c r="P61" s="41">
        <v>3</v>
      </c>
      <c r="Q61" s="42">
        <v>3</v>
      </c>
      <c r="R61" s="40">
        <f t="shared" si="13"/>
        <v>6</v>
      </c>
      <c r="S61" s="3">
        <v>3</v>
      </c>
      <c r="T61" s="3">
        <v>3</v>
      </c>
      <c r="U61" s="40">
        <f t="shared" si="14"/>
        <v>6</v>
      </c>
      <c r="V61" s="3">
        <v>3</v>
      </c>
      <c r="W61" s="3">
        <v>3</v>
      </c>
      <c r="X61" s="40">
        <f t="shared" si="15"/>
        <v>6</v>
      </c>
      <c r="AA61" s="22">
        <f t="shared" si="7"/>
        <v>39</v>
      </c>
      <c r="AB61" s="22">
        <f t="shared" si="8"/>
        <v>92.857142857142861</v>
      </c>
    </row>
    <row r="62" spans="1:28" ht="18" x14ac:dyDescent="0.35">
      <c r="A62" s="2">
        <v>57</v>
      </c>
      <c r="B62" s="16" t="s">
        <v>148</v>
      </c>
      <c r="C62" s="20" t="s">
        <v>149</v>
      </c>
      <c r="D62" s="47">
        <v>3</v>
      </c>
      <c r="E62" s="47">
        <v>3</v>
      </c>
      <c r="F62" s="47">
        <v>3</v>
      </c>
      <c r="G62" s="36">
        <f t="shared" si="9"/>
        <v>9</v>
      </c>
      <c r="H62" s="3">
        <v>0</v>
      </c>
      <c r="I62" s="3">
        <v>3</v>
      </c>
      <c r="J62" s="36">
        <f t="shared" si="10"/>
        <v>3</v>
      </c>
      <c r="K62" s="3">
        <v>3</v>
      </c>
      <c r="L62" s="36">
        <f t="shared" si="11"/>
        <v>3</v>
      </c>
      <c r="M62" s="3">
        <v>3</v>
      </c>
      <c r="N62" s="3">
        <v>3</v>
      </c>
      <c r="O62" s="38">
        <f t="shared" si="12"/>
        <v>6</v>
      </c>
      <c r="P62" s="41">
        <v>3</v>
      </c>
      <c r="Q62" s="42">
        <v>3</v>
      </c>
      <c r="R62" s="40">
        <f t="shared" si="13"/>
        <v>6</v>
      </c>
      <c r="S62" s="3">
        <v>3</v>
      </c>
      <c r="T62" s="3">
        <v>3</v>
      </c>
      <c r="U62" s="40">
        <f t="shared" si="14"/>
        <v>6</v>
      </c>
      <c r="V62" s="3">
        <v>3</v>
      </c>
      <c r="W62" s="3">
        <v>3</v>
      </c>
      <c r="X62" s="40">
        <f t="shared" si="15"/>
        <v>6</v>
      </c>
      <c r="AA62" s="22">
        <f t="shared" si="7"/>
        <v>39</v>
      </c>
      <c r="AB62" s="22">
        <f t="shared" si="8"/>
        <v>92.857142857142861</v>
      </c>
    </row>
    <row r="63" spans="1:28" ht="18" x14ac:dyDescent="0.35">
      <c r="A63" s="2">
        <v>58</v>
      </c>
      <c r="B63" s="16" t="s">
        <v>150</v>
      </c>
      <c r="C63" s="20" t="s">
        <v>151</v>
      </c>
      <c r="D63" s="47">
        <v>3</v>
      </c>
      <c r="E63" s="47">
        <v>3</v>
      </c>
      <c r="F63" s="47">
        <v>0</v>
      </c>
      <c r="G63" s="36">
        <f t="shared" si="9"/>
        <v>6</v>
      </c>
      <c r="H63" s="3">
        <v>3</v>
      </c>
      <c r="I63" s="3">
        <v>3</v>
      </c>
      <c r="J63" s="36">
        <f t="shared" si="10"/>
        <v>6</v>
      </c>
      <c r="K63" s="3">
        <v>3</v>
      </c>
      <c r="L63" s="36">
        <f t="shared" si="11"/>
        <v>3</v>
      </c>
      <c r="M63" s="3">
        <v>3</v>
      </c>
      <c r="N63" s="3">
        <v>3</v>
      </c>
      <c r="O63" s="38">
        <f t="shared" si="12"/>
        <v>6</v>
      </c>
      <c r="P63" s="41">
        <v>3</v>
      </c>
      <c r="Q63" s="42">
        <v>3</v>
      </c>
      <c r="R63" s="40">
        <f t="shared" si="13"/>
        <v>6</v>
      </c>
      <c r="S63" s="3">
        <v>3</v>
      </c>
      <c r="T63" s="3">
        <v>3</v>
      </c>
      <c r="U63" s="40">
        <f t="shared" si="14"/>
        <v>6</v>
      </c>
      <c r="V63" s="3">
        <v>3</v>
      </c>
      <c r="W63" s="3">
        <v>3</v>
      </c>
      <c r="X63" s="40">
        <f t="shared" si="15"/>
        <v>6</v>
      </c>
      <c r="AA63" s="22">
        <f t="shared" si="7"/>
        <v>39</v>
      </c>
      <c r="AB63" s="22">
        <f t="shared" si="8"/>
        <v>92.857142857142861</v>
      </c>
    </row>
    <row r="64" spans="1:28" ht="18" x14ac:dyDescent="0.35">
      <c r="A64" s="2">
        <v>59</v>
      </c>
      <c r="B64" s="16" t="s">
        <v>152</v>
      </c>
      <c r="C64" s="20" t="s">
        <v>153</v>
      </c>
      <c r="D64" s="47">
        <v>3</v>
      </c>
      <c r="E64" s="47">
        <v>0</v>
      </c>
      <c r="F64" s="47">
        <v>3</v>
      </c>
      <c r="G64" s="36">
        <f t="shared" si="9"/>
        <v>6</v>
      </c>
      <c r="H64" s="3">
        <v>3</v>
      </c>
      <c r="I64" s="3">
        <v>3</v>
      </c>
      <c r="J64" s="36">
        <f t="shared" si="10"/>
        <v>6</v>
      </c>
      <c r="K64" s="3">
        <v>3</v>
      </c>
      <c r="L64" s="36">
        <f t="shared" si="11"/>
        <v>3</v>
      </c>
      <c r="M64" s="3">
        <v>3</v>
      </c>
      <c r="N64" s="3">
        <v>3</v>
      </c>
      <c r="O64" s="38">
        <f t="shared" si="12"/>
        <v>6</v>
      </c>
      <c r="P64" s="41">
        <v>3</v>
      </c>
      <c r="Q64" s="42">
        <v>3</v>
      </c>
      <c r="R64" s="40">
        <f t="shared" si="13"/>
        <v>6</v>
      </c>
      <c r="S64" s="3">
        <v>3</v>
      </c>
      <c r="T64" s="3">
        <v>3</v>
      </c>
      <c r="U64" s="40">
        <f t="shared" si="14"/>
        <v>6</v>
      </c>
      <c r="V64" s="3">
        <v>3</v>
      </c>
      <c r="W64" s="3">
        <v>3</v>
      </c>
      <c r="X64" s="40">
        <f t="shared" si="15"/>
        <v>6</v>
      </c>
      <c r="AA64" s="22">
        <f t="shared" si="7"/>
        <v>39</v>
      </c>
      <c r="AB64" s="22">
        <f t="shared" si="8"/>
        <v>92.857142857142861</v>
      </c>
    </row>
    <row r="65" spans="1:28" ht="18" x14ac:dyDescent="0.35">
      <c r="A65" s="2">
        <v>60</v>
      </c>
      <c r="B65" s="16" t="s">
        <v>154</v>
      </c>
      <c r="C65" s="20" t="s">
        <v>155</v>
      </c>
      <c r="D65" s="47">
        <v>3</v>
      </c>
      <c r="E65" s="47">
        <v>3</v>
      </c>
      <c r="F65" s="47">
        <v>3</v>
      </c>
      <c r="G65" s="36">
        <f t="shared" si="9"/>
        <v>9</v>
      </c>
      <c r="H65" s="3">
        <v>3</v>
      </c>
      <c r="I65" s="3">
        <v>3</v>
      </c>
      <c r="J65" s="36">
        <f t="shared" si="10"/>
        <v>6</v>
      </c>
      <c r="K65" s="3">
        <v>3</v>
      </c>
      <c r="L65" s="36">
        <f t="shared" si="11"/>
        <v>3</v>
      </c>
      <c r="M65" s="3">
        <v>3</v>
      </c>
      <c r="N65" s="3">
        <v>3</v>
      </c>
      <c r="O65" s="38">
        <f t="shared" si="12"/>
        <v>6</v>
      </c>
      <c r="P65" s="3">
        <v>0</v>
      </c>
      <c r="Q65" s="3">
        <v>0</v>
      </c>
      <c r="R65" s="40">
        <f t="shared" si="13"/>
        <v>0</v>
      </c>
      <c r="S65" s="3">
        <v>3</v>
      </c>
      <c r="T65" s="3">
        <v>3</v>
      </c>
      <c r="U65" s="40">
        <f t="shared" si="14"/>
        <v>6</v>
      </c>
      <c r="V65" s="3">
        <v>0</v>
      </c>
      <c r="W65" s="3">
        <v>3</v>
      </c>
      <c r="X65" s="40">
        <f t="shared" si="15"/>
        <v>3</v>
      </c>
      <c r="AA65" s="22">
        <f t="shared" si="7"/>
        <v>33</v>
      </c>
      <c r="AB65" s="22">
        <f t="shared" si="8"/>
        <v>78.571428571428569</v>
      </c>
    </row>
    <row r="66" spans="1:28" ht="18" x14ac:dyDescent="0.35">
      <c r="A66" s="2">
        <v>61</v>
      </c>
      <c r="B66" s="16" t="s">
        <v>156</v>
      </c>
      <c r="C66" s="20" t="s">
        <v>157</v>
      </c>
      <c r="D66" s="47">
        <v>3</v>
      </c>
      <c r="E66" s="47">
        <v>3</v>
      </c>
      <c r="F66" s="47">
        <v>3</v>
      </c>
      <c r="G66" s="36">
        <f t="shared" si="9"/>
        <v>9</v>
      </c>
      <c r="H66" s="3">
        <v>3</v>
      </c>
      <c r="I66" s="3">
        <v>3</v>
      </c>
      <c r="J66" s="36">
        <f t="shared" si="10"/>
        <v>6</v>
      </c>
      <c r="K66" s="3">
        <v>3</v>
      </c>
      <c r="L66" s="36">
        <f t="shared" si="11"/>
        <v>3</v>
      </c>
      <c r="M66" s="3">
        <v>0</v>
      </c>
      <c r="N66" s="3">
        <v>0</v>
      </c>
      <c r="O66" s="38">
        <f t="shared" si="12"/>
        <v>0</v>
      </c>
      <c r="P66" s="41">
        <v>3</v>
      </c>
      <c r="Q66" s="42">
        <v>3</v>
      </c>
      <c r="R66" s="40">
        <f t="shared" si="13"/>
        <v>6</v>
      </c>
      <c r="S66" s="3">
        <v>3</v>
      </c>
      <c r="T66" s="3">
        <v>3</v>
      </c>
      <c r="U66" s="40">
        <f t="shared" si="14"/>
        <v>6</v>
      </c>
      <c r="V66" s="3">
        <v>3</v>
      </c>
      <c r="W66" s="3">
        <v>0</v>
      </c>
      <c r="X66" s="40">
        <f t="shared" si="15"/>
        <v>3</v>
      </c>
      <c r="AA66" s="22">
        <f t="shared" si="7"/>
        <v>33</v>
      </c>
      <c r="AB66" s="22">
        <f t="shared" si="8"/>
        <v>78.571428571428569</v>
      </c>
    </row>
    <row r="67" spans="1:28" ht="18" x14ac:dyDescent="0.35">
      <c r="A67" s="2">
        <v>62</v>
      </c>
      <c r="B67" s="16" t="s">
        <v>158</v>
      </c>
      <c r="C67" s="20" t="s">
        <v>159</v>
      </c>
      <c r="D67" s="47">
        <v>3</v>
      </c>
      <c r="E67" s="47">
        <v>0</v>
      </c>
      <c r="F67" s="47">
        <v>3</v>
      </c>
      <c r="G67" s="36">
        <f t="shared" si="9"/>
        <v>6</v>
      </c>
      <c r="H67" s="3">
        <v>3</v>
      </c>
      <c r="I67" s="3">
        <v>3</v>
      </c>
      <c r="J67" s="36">
        <f t="shared" si="10"/>
        <v>6</v>
      </c>
      <c r="K67" s="3">
        <v>3</v>
      </c>
      <c r="L67" s="36">
        <f t="shared" si="11"/>
        <v>3</v>
      </c>
      <c r="M67" s="3">
        <v>3</v>
      </c>
      <c r="N67" s="3">
        <v>3</v>
      </c>
      <c r="O67" s="38">
        <f t="shared" si="12"/>
        <v>6</v>
      </c>
      <c r="P67" s="41">
        <v>3</v>
      </c>
      <c r="Q67" s="42">
        <v>3</v>
      </c>
      <c r="R67" s="40">
        <f t="shared" si="13"/>
        <v>6</v>
      </c>
      <c r="S67" s="3">
        <v>3</v>
      </c>
      <c r="T67" s="3">
        <v>3</v>
      </c>
      <c r="U67" s="40">
        <f t="shared" si="14"/>
        <v>6</v>
      </c>
      <c r="V67" s="3">
        <v>3</v>
      </c>
      <c r="W67" s="3">
        <v>3</v>
      </c>
      <c r="X67" s="40">
        <f t="shared" si="15"/>
        <v>6</v>
      </c>
      <c r="AA67" s="22">
        <f t="shared" si="7"/>
        <v>39</v>
      </c>
      <c r="AB67" s="22">
        <f t="shared" si="8"/>
        <v>92.857142857142861</v>
      </c>
    </row>
    <row r="68" spans="1:28" ht="18" x14ac:dyDescent="0.35">
      <c r="A68" s="2">
        <v>63</v>
      </c>
      <c r="B68" s="16" t="s">
        <v>160</v>
      </c>
      <c r="C68" s="20" t="s">
        <v>161</v>
      </c>
      <c r="D68" s="47">
        <v>3</v>
      </c>
      <c r="E68" s="47">
        <v>3</v>
      </c>
      <c r="F68" s="47">
        <v>0</v>
      </c>
      <c r="G68" s="36">
        <f t="shared" si="9"/>
        <v>6</v>
      </c>
      <c r="H68" s="3">
        <v>3</v>
      </c>
      <c r="I68" s="3">
        <v>3</v>
      </c>
      <c r="J68" s="36">
        <f t="shared" si="10"/>
        <v>6</v>
      </c>
      <c r="K68" s="3">
        <v>3</v>
      </c>
      <c r="L68" s="36">
        <f t="shared" si="11"/>
        <v>3</v>
      </c>
      <c r="M68" s="3">
        <v>3</v>
      </c>
      <c r="N68" s="3">
        <v>3</v>
      </c>
      <c r="O68" s="38">
        <f t="shared" si="12"/>
        <v>6</v>
      </c>
      <c r="P68" s="41">
        <v>3</v>
      </c>
      <c r="Q68" s="42">
        <v>3</v>
      </c>
      <c r="R68" s="40">
        <f t="shared" si="13"/>
        <v>6</v>
      </c>
      <c r="S68" s="3">
        <v>3</v>
      </c>
      <c r="T68" s="3">
        <v>3</v>
      </c>
      <c r="U68" s="40">
        <f t="shared" si="14"/>
        <v>6</v>
      </c>
      <c r="V68" s="3">
        <v>3</v>
      </c>
      <c r="W68" s="3">
        <v>3</v>
      </c>
      <c r="X68" s="40">
        <f t="shared" si="15"/>
        <v>6</v>
      </c>
      <c r="AA68" s="22">
        <f t="shared" si="7"/>
        <v>39</v>
      </c>
      <c r="AB68" s="22">
        <f t="shared" si="8"/>
        <v>92.857142857142861</v>
      </c>
    </row>
    <row r="69" spans="1:28" ht="18" x14ac:dyDescent="0.35">
      <c r="A69" s="2">
        <v>64</v>
      </c>
      <c r="B69" s="16" t="s">
        <v>162</v>
      </c>
      <c r="C69" s="20" t="s">
        <v>163</v>
      </c>
      <c r="D69" s="47">
        <v>3</v>
      </c>
      <c r="E69" s="47">
        <v>3</v>
      </c>
      <c r="F69" s="47">
        <v>3</v>
      </c>
      <c r="G69" s="36">
        <f t="shared" si="9"/>
        <v>9</v>
      </c>
      <c r="H69" s="3">
        <v>0</v>
      </c>
      <c r="I69" s="3">
        <v>3</v>
      </c>
      <c r="J69" s="36">
        <f t="shared" si="10"/>
        <v>3</v>
      </c>
      <c r="K69" s="3">
        <v>3</v>
      </c>
      <c r="L69" s="36">
        <f t="shared" si="11"/>
        <v>3</v>
      </c>
      <c r="M69" s="3">
        <v>3</v>
      </c>
      <c r="N69" s="3">
        <v>3</v>
      </c>
      <c r="O69" s="38">
        <f t="shared" si="12"/>
        <v>6</v>
      </c>
      <c r="P69" s="41">
        <v>3</v>
      </c>
      <c r="Q69" s="42">
        <v>3</v>
      </c>
      <c r="R69" s="40">
        <f t="shared" ref="R69:R70" si="16">SUM(P69:Q69)</f>
        <v>6</v>
      </c>
      <c r="S69" s="3">
        <v>3</v>
      </c>
      <c r="T69" s="3">
        <v>3</v>
      </c>
      <c r="U69" s="40">
        <f t="shared" ref="U69:U70" si="17">SUM(S69:T69)</f>
        <v>6</v>
      </c>
      <c r="V69" s="3">
        <v>3</v>
      </c>
      <c r="W69" s="3">
        <v>3</v>
      </c>
      <c r="X69" s="40">
        <f t="shared" ref="X69:X70" si="18">SUM(V69:W69)</f>
        <v>6</v>
      </c>
      <c r="AA69" s="22">
        <f t="shared" si="7"/>
        <v>39</v>
      </c>
      <c r="AB69" s="22">
        <f t="shared" si="8"/>
        <v>92.857142857142861</v>
      </c>
    </row>
    <row r="70" spans="1:28" ht="18" x14ac:dyDescent="0.35">
      <c r="A70" s="2">
        <v>65</v>
      </c>
      <c r="B70" s="17" t="s">
        <v>164</v>
      </c>
      <c r="C70" s="21" t="s">
        <v>165</v>
      </c>
      <c r="D70" s="47">
        <v>3</v>
      </c>
      <c r="E70" s="47">
        <v>3</v>
      </c>
      <c r="F70" s="47">
        <v>3</v>
      </c>
      <c r="G70" s="36">
        <f t="shared" si="9"/>
        <v>9</v>
      </c>
      <c r="H70" s="3">
        <v>3</v>
      </c>
      <c r="I70" s="3">
        <v>0</v>
      </c>
      <c r="J70" s="36">
        <f t="shared" si="10"/>
        <v>3</v>
      </c>
      <c r="K70" s="3">
        <v>3</v>
      </c>
      <c r="L70" s="36">
        <f t="shared" si="11"/>
        <v>3</v>
      </c>
      <c r="M70" s="3">
        <v>3</v>
      </c>
      <c r="N70" s="3">
        <v>3</v>
      </c>
      <c r="O70" s="38">
        <f t="shared" si="12"/>
        <v>6</v>
      </c>
      <c r="P70" s="41">
        <v>3</v>
      </c>
      <c r="Q70" s="42">
        <v>3</v>
      </c>
      <c r="R70" s="40">
        <f t="shared" si="16"/>
        <v>6</v>
      </c>
      <c r="S70" s="3">
        <v>3</v>
      </c>
      <c r="T70" s="3">
        <v>3</v>
      </c>
      <c r="U70" s="40">
        <f t="shared" si="17"/>
        <v>6</v>
      </c>
      <c r="V70" s="3">
        <v>3</v>
      </c>
      <c r="W70" s="3">
        <v>3</v>
      </c>
      <c r="X70" s="40">
        <f t="shared" si="18"/>
        <v>6</v>
      </c>
      <c r="AA70" s="22">
        <f t="shared" si="7"/>
        <v>39</v>
      </c>
      <c r="AB70" s="22">
        <f t="shared" si="8"/>
        <v>92.857142857142861</v>
      </c>
    </row>
  </sheetData>
  <mergeCells count="17">
    <mergeCell ref="M2:N2"/>
    <mergeCell ref="O2:O3"/>
    <mergeCell ref="A3:A4"/>
    <mergeCell ref="B3:B4"/>
    <mergeCell ref="A5:B5"/>
    <mergeCell ref="D2:F2"/>
    <mergeCell ref="G2:G3"/>
    <mergeCell ref="H2:I2"/>
    <mergeCell ref="J2:J3"/>
    <mergeCell ref="K2"/>
    <mergeCell ref="L2:L3"/>
    <mergeCell ref="X2:X3"/>
    <mergeCell ref="P2:Q2"/>
    <mergeCell ref="S2:T2"/>
    <mergeCell ref="R2:R3"/>
    <mergeCell ref="U2:U3"/>
    <mergeCell ref="V2:W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topLeftCell="D1" zoomScale="80" zoomScaleNormal="80" workbookViewId="0">
      <selection activeCell="Y2" sqref="Y2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1" width="9.109375" style="15" customWidth="1"/>
    <col min="12" max="12" width="9.109375" style="15"/>
    <col min="13" max="15" width="9.109375" style="15" customWidth="1"/>
    <col min="16" max="16" width="9.109375" style="15"/>
    <col min="17" max="17" width="9.109375" style="15" customWidth="1"/>
    <col min="18" max="18" width="9.109375" style="15"/>
    <col min="19" max="20" width="9.109375" style="15" customWidth="1"/>
    <col min="21" max="21" width="9.109375" style="15"/>
    <col min="22" max="22" width="9.109375" style="15" customWidth="1"/>
    <col min="23" max="16384" width="9.109375" style="15"/>
  </cols>
  <sheetData>
    <row r="1" spans="1:27" ht="15.75" thickBot="1" x14ac:dyDescent="0.3"/>
    <row r="2" spans="1:27" ht="15.75" customHeight="1" thickBot="1" x14ac:dyDescent="0.3">
      <c r="D2" s="64" t="s">
        <v>35</v>
      </c>
      <c r="E2" s="64"/>
      <c r="F2" s="60" t="s">
        <v>16</v>
      </c>
      <c r="G2" s="63"/>
      <c r="H2" s="63"/>
      <c r="I2" s="60" t="s">
        <v>17</v>
      </c>
      <c r="J2" s="64" t="s">
        <v>7</v>
      </c>
      <c r="K2" s="64"/>
      <c r="L2" s="60" t="s">
        <v>18</v>
      </c>
      <c r="M2" s="56" t="s">
        <v>14</v>
      </c>
      <c r="N2" s="53"/>
      <c r="O2" s="53"/>
      <c r="P2" s="52" t="s">
        <v>19</v>
      </c>
      <c r="Q2" s="53" t="s">
        <v>173</v>
      </c>
      <c r="R2" s="54" t="s">
        <v>168</v>
      </c>
      <c r="S2" s="53" t="s">
        <v>171</v>
      </c>
      <c r="T2" s="53"/>
      <c r="U2" s="52" t="s">
        <v>169</v>
      </c>
      <c r="V2" s="32" t="s">
        <v>171</v>
      </c>
      <c r="W2" s="52" t="s">
        <v>170</v>
      </c>
    </row>
    <row r="3" spans="1:27" x14ac:dyDescent="0.25">
      <c r="A3" s="58"/>
      <c r="B3" s="59"/>
      <c r="C3" s="29"/>
      <c r="D3" s="4" t="s">
        <v>13</v>
      </c>
      <c r="E3" s="4" t="s">
        <v>13</v>
      </c>
      <c r="F3" s="61"/>
      <c r="G3" s="4" t="s">
        <v>13</v>
      </c>
      <c r="H3" s="4" t="s">
        <v>13</v>
      </c>
      <c r="I3" s="61"/>
      <c r="J3" s="4" t="s">
        <v>13</v>
      </c>
      <c r="K3" s="4" t="s">
        <v>13</v>
      </c>
      <c r="L3" s="61"/>
      <c r="M3" s="30" t="s">
        <v>6</v>
      </c>
      <c r="N3" s="30" t="s">
        <v>6</v>
      </c>
      <c r="O3" s="30" t="s">
        <v>6</v>
      </c>
      <c r="P3" s="52"/>
      <c r="Q3" s="34" t="s">
        <v>6</v>
      </c>
      <c r="R3" s="55"/>
      <c r="S3" s="34" t="s">
        <v>6</v>
      </c>
      <c r="T3" s="34" t="s">
        <v>6</v>
      </c>
      <c r="U3" s="52"/>
      <c r="V3" s="34" t="s">
        <v>6</v>
      </c>
      <c r="W3" s="52"/>
    </row>
    <row r="4" spans="1:27" x14ac:dyDescent="0.25">
      <c r="A4" s="58"/>
      <c r="B4" s="59"/>
      <c r="C4" s="35" t="s">
        <v>167</v>
      </c>
      <c r="D4" s="6">
        <v>14</v>
      </c>
      <c r="E4" s="6">
        <v>28</v>
      </c>
      <c r="F4" s="6"/>
      <c r="G4" s="30">
        <v>4</v>
      </c>
      <c r="H4" s="30">
        <v>11</v>
      </c>
      <c r="I4" s="30"/>
      <c r="J4" s="30">
        <v>18</v>
      </c>
      <c r="K4" s="30">
        <v>25</v>
      </c>
      <c r="L4" s="27"/>
      <c r="M4" s="30">
        <v>1</v>
      </c>
      <c r="N4" s="30">
        <v>8</v>
      </c>
      <c r="O4" s="30">
        <v>15</v>
      </c>
      <c r="P4" s="7"/>
      <c r="Q4" s="34">
        <v>22</v>
      </c>
      <c r="R4" s="7"/>
      <c r="S4" s="34">
        <v>6</v>
      </c>
      <c r="T4" s="34">
        <v>13</v>
      </c>
      <c r="U4" s="7"/>
      <c r="V4" s="34">
        <v>27</v>
      </c>
      <c r="W4" s="7"/>
    </row>
    <row r="5" spans="1:27" s="26" customFormat="1" ht="21" customHeight="1" x14ac:dyDescent="0.25">
      <c r="A5" s="57" t="s">
        <v>0</v>
      </c>
      <c r="B5" s="57"/>
      <c r="C5" s="28"/>
      <c r="D5" s="37">
        <v>2</v>
      </c>
      <c r="E5" s="36">
        <v>2</v>
      </c>
      <c r="F5" s="36">
        <f>SUM(D5:E5)</f>
        <v>4</v>
      </c>
      <c r="G5" s="25">
        <v>2</v>
      </c>
      <c r="H5" s="25">
        <v>2</v>
      </c>
      <c r="I5" s="36">
        <f>SUM(G5:H5)</f>
        <v>4</v>
      </c>
      <c r="J5" s="25">
        <v>2</v>
      </c>
      <c r="K5" s="25">
        <v>2</v>
      </c>
      <c r="L5" s="36">
        <f>SUM(J5:K5)</f>
        <v>4</v>
      </c>
      <c r="M5" s="25">
        <v>2</v>
      </c>
      <c r="N5" s="24">
        <v>2</v>
      </c>
      <c r="O5" s="25">
        <v>2</v>
      </c>
      <c r="P5" s="38">
        <f>SUM(M5:O5)</f>
        <v>6</v>
      </c>
      <c r="Q5" s="24">
        <v>2</v>
      </c>
      <c r="R5" s="38">
        <f t="shared" ref="R5:R36" si="0">SUM(Q5:Q5)</f>
        <v>2</v>
      </c>
      <c r="S5" s="24">
        <v>2</v>
      </c>
      <c r="T5" s="25">
        <v>2</v>
      </c>
      <c r="U5" s="38">
        <f t="shared" ref="U5:U36" si="1">SUM(S5:T5)</f>
        <v>4</v>
      </c>
      <c r="V5" s="24">
        <v>2</v>
      </c>
      <c r="W5" s="38">
        <f t="shared" ref="W5:W36" si="2">SUM(V5:V5)</f>
        <v>2</v>
      </c>
      <c r="Z5" s="28">
        <f>F5+I5+L5+P5+R5+U5+W5</f>
        <v>26</v>
      </c>
      <c r="AA5" s="28"/>
    </row>
    <row r="6" spans="1:27" ht="18.75" x14ac:dyDescent="0.3">
      <c r="A6" s="2">
        <v>1</v>
      </c>
      <c r="B6" s="16" t="s">
        <v>36</v>
      </c>
      <c r="C6" s="20" t="s">
        <v>37</v>
      </c>
      <c r="D6" s="40">
        <v>0</v>
      </c>
      <c r="E6" s="40">
        <v>2</v>
      </c>
      <c r="F6" s="36">
        <f t="shared" ref="F6:F69" si="3">SUM(D6:E6)</f>
        <v>2</v>
      </c>
      <c r="G6" s="3">
        <v>0</v>
      </c>
      <c r="H6" s="3">
        <v>0</v>
      </c>
      <c r="I6" s="36">
        <f t="shared" ref="I6:I69" si="4">SUM(G6:H6)</f>
        <v>0</v>
      </c>
      <c r="J6" s="3">
        <v>2</v>
      </c>
      <c r="K6" s="3">
        <v>2</v>
      </c>
      <c r="L6" s="36">
        <f t="shared" ref="L6:L69" si="5">SUM(J6:K6)</f>
        <v>4</v>
      </c>
      <c r="M6" s="3">
        <v>2</v>
      </c>
      <c r="N6" s="3">
        <v>2</v>
      </c>
      <c r="O6" s="3">
        <v>2</v>
      </c>
      <c r="P6" s="38">
        <f t="shared" ref="P6:P69" si="6">SUM(M6:O6)</f>
        <v>6</v>
      </c>
      <c r="Q6" s="3">
        <v>2</v>
      </c>
      <c r="R6" s="40">
        <f t="shared" si="0"/>
        <v>2</v>
      </c>
      <c r="S6" s="3">
        <v>2</v>
      </c>
      <c r="T6" s="3">
        <v>2</v>
      </c>
      <c r="U6" s="40">
        <f t="shared" si="1"/>
        <v>4</v>
      </c>
      <c r="V6" s="3">
        <v>2</v>
      </c>
      <c r="W6" s="40">
        <f t="shared" si="2"/>
        <v>2</v>
      </c>
      <c r="Z6" s="22">
        <f>F6+I6+L6+P6+R6+U6+W6</f>
        <v>20</v>
      </c>
      <c r="AA6" s="22">
        <f>Z6/26*100</f>
        <v>76.923076923076934</v>
      </c>
    </row>
    <row r="7" spans="1:27" ht="18.75" x14ac:dyDescent="0.3">
      <c r="A7" s="2">
        <v>2</v>
      </c>
      <c r="B7" s="16" t="s">
        <v>38</v>
      </c>
      <c r="C7" s="20" t="s">
        <v>39</v>
      </c>
      <c r="D7" s="40">
        <v>2</v>
      </c>
      <c r="E7" s="40">
        <v>0</v>
      </c>
      <c r="F7" s="36">
        <f t="shared" si="3"/>
        <v>2</v>
      </c>
      <c r="G7" s="3">
        <v>2</v>
      </c>
      <c r="H7" s="3">
        <v>2</v>
      </c>
      <c r="I7" s="36">
        <f t="shared" si="4"/>
        <v>4</v>
      </c>
      <c r="J7" s="3">
        <v>0</v>
      </c>
      <c r="K7" s="3">
        <v>0</v>
      </c>
      <c r="L7" s="36">
        <f t="shared" si="5"/>
        <v>0</v>
      </c>
      <c r="M7" s="3">
        <v>2</v>
      </c>
      <c r="N7" s="3">
        <v>2</v>
      </c>
      <c r="O7" s="3">
        <v>2</v>
      </c>
      <c r="P7" s="38">
        <f t="shared" si="6"/>
        <v>6</v>
      </c>
      <c r="Q7" s="3">
        <v>2</v>
      </c>
      <c r="R7" s="40">
        <f t="shared" si="0"/>
        <v>2</v>
      </c>
      <c r="S7" s="3">
        <v>2</v>
      </c>
      <c r="T7" s="3">
        <v>2</v>
      </c>
      <c r="U7" s="40">
        <f t="shared" si="1"/>
        <v>4</v>
      </c>
      <c r="V7" s="3">
        <v>2</v>
      </c>
      <c r="W7" s="40">
        <f t="shared" si="2"/>
        <v>2</v>
      </c>
      <c r="Z7" s="22">
        <f t="shared" ref="Z7:Z70" si="7">F7+I7+L7+P7+R7+U7+W7</f>
        <v>20</v>
      </c>
      <c r="AA7" s="22">
        <f t="shared" ref="AA7:AA70" si="8">Z7/26*100</f>
        <v>76.923076923076934</v>
      </c>
    </row>
    <row r="8" spans="1:27" ht="18.75" x14ac:dyDescent="0.3">
      <c r="A8" s="2">
        <v>3</v>
      </c>
      <c r="B8" s="16" t="s">
        <v>40</v>
      </c>
      <c r="C8" s="20" t="s">
        <v>41</v>
      </c>
      <c r="D8" s="40">
        <v>2</v>
      </c>
      <c r="E8" s="40">
        <v>2</v>
      </c>
      <c r="F8" s="36">
        <f t="shared" si="3"/>
        <v>4</v>
      </c>
      <c r="G8" s="3">
        <v>0</v>
      </c>
      <c r="H8" s="3">
        <v>2</v>
      </c>
      <c r="I8" s="36">
        <f t="shared" si="4"/>
        <v>2</v>
      </c>
      <c r="J8" s="3">
        <v>2</v>
      </c>
      <c r="K8" s="3">
        <v>2</v>
      </c>
      <c r="L8" s="36">
        <f t="shared" si="5"/>
        <v>4</v>
      </c>
      <c r="M8" s="3">
        <v>0</v>
      </c>
      <c r="N8" s="3">
        <v>0</v>
      </c>
      <c r="O8" s="3">
        <v>2</v>
      </c>
      <c r="P8" s="38">
        <f t="shared" si="6"/>
        <v>2</v>
      </c>
      <c r="Q8" s="3">
        <v>2</v>
      </c>
      <c r="R8" s="40">
        <f t="shared" si="0"/>
        <v>2</v>
      </c>
      <c r="S8" s="3">
        <v>2</v>
      </c>
      <c r="T8" s="3">
        <v>2</v>
      </c>
      <c r="U8" s="40">
        <f t="shared" si="1"/>
        <v>4</v>
      </c>
      <c r="V8" s="3">
        <v>2</v>
      </c>
      <c r="W8" s="40">
        <f t="shared" si="2"/>
        <v>2</v>
      </c>
      <c r="Z8" s="22">
        <f t="shared" si="7"/>
        <v>20</v>
      </c>
      <c r="AA8" s="22">
        <f t="shared" si="8"/>
        <v>76.923076923076934</v>
      </c>
    </row>
    <row r="9" spans="1:27" ht="18.75" x14ac:dyDescent="0.3">
      <c r="A9" s="2">
        <v>4</v>
      </c>
      <c r="B9" s="16" t="s">
        <v>42</v>
      </c>
      <c r="C9" s="20" t="s">
        <v>43</v>
      </c>
      <c r="D9" s="40">
        <v>2</v>
      </c>
      <c r="E9" s="40">
        <v>2</v>
      </c>
      <c r="F9" s="36">
        <f t="shared" si="3"/>
        <v>4</v>
      </c>
      <c r="G9" s="3">
        <v>2</v>
      </c>
      <c r="H9" s="3">
        <v>2</v>
      </c>
      <c r="I9" s="36">
        <f t="shared" si="4"/>
        <v>4</v>
      </c>
      <c r="J9" s="3">
        <v>2</v>
      </c>
      <c r="K9" s="3">
        <v>0</v>
      </c>
      <c r="L9" s="36">
        <f t="shared" si="5"/>
        <v>2</v>
      </c>
      <c r="M9" s="3">
        <v>2</v>
      </c>
      <c r="N9" s="3">
        <v>0</v>
      </c>
      <c r="O9" s="3">
        <v>0</v>
      </c>
      <c r="P9" s="38">
        <f t="shared" si="6"/>
        <v>2</v>
      </c>
      <c r="Q9" s="3">
        <v>2</v>
      </c>
      <c r="R9" s="40">
        <f t="shared" si="0"/>
        <v>2</v>
      </c>
      <c r="S9" s="3">
        <v>2</v>
      </c>
      <c r="T9" s="3">
        <v>2</v>
      </c>
      <c r="U9" s="40">
        <f t="shared" si="1"/>
        <v>4</v>
      </c>
      <c r="V9" s="3">
        <v>2</v>
      </c>
      <c r="W9" s="40">
        <f t="shared" si="2"/>
        <v>2</v>
      </c>
      <c r="Z9" s="22">
        <f t="shared" si="7"/>
        <v>20</v>
      </c>
      <c r="AA9" s="22">
        <f t="shared" si="8"/>
        <v>76.923076923076934</v>
      </c>
    </row>
    <row r="10" spans="1:27" ht="18.75" x14ac:dyDescent="0.3">
      <c r="A10" s="2">
        <v>5</v>
      </c>
      <c r="B10" s="16" t="s">
        <v>44</v>
      </c>
      <c r="C10" s="20" t="s">
        <v>45</v>
      </c>
      <c r="D10" s="40">
        <v>2</v>
      </c>
      <c r="E10" s="40">
        <v>2</v>
      </c>
      <c r="F10" s="36">
        <f t="shared" si="3"/>
        <v>4</v>
      </c>
      <c r="G10" s="3">
        <v>2</v>
      </c>
      <c r="H10" s="3">
        <v>2</v>
      </c>
      <c r="I10" s="36">
        <f t="shared" si="4"/>
        <v>4</v>
      </c>
      <c r="J10" s="3">
        <v>2</v>
      </c>
      <c r="K10" s="3">
        <v>2</v>
      </c>
      <c r="L10" s="36">
        <f t="shared" si="5"/>
        <v>4</v>
      </c>
      <c r="M10" s="3">
        <v>0</v>
      </c>
      <c r="N10" s="3">
        <v>0</v>
      </c>
      <c r="O10" s="3">
        <v>2</v>
      </c>
      <c r="P10" s="38">
        <f t="shared" si="6"/>
        <v>2</v>
      </c>
      <c r="Q10" s="3">
        <v>2</v>
      </c>
      <c r="R10" s="40">
        <f t="shared" si="0"/>
        <v>2</v>
      </c>
      <c r="S10" s="3">
        <v>2</v>
      </c>
      <c r="T10" s="3">
        <v>2</v>
      </c>
      <c r="U10" s="40">
        <f t="shared" si="1"/>
        <v>4</v>
      </c>
      <c r="V10" s="3">
        <v>2</v>
      </c>
      <c r="W10" s="40">
        <f t="shared" si="2"/>
        <v>2</v>
      </c>
      <c r="Z10" s="22">
        <f t="shared" si="7"/>
        <v>22</v>
      </c>
      <c r="AA10" s="22">
        <f t="shared" si="8"/>
        <v>84.615384615384613</v>
      </c>
    </row>
    <row r="11" spans="1:27" ht="18.75" x14ac:dyDescent="0.3">
      <c r="A11" s="2">
        <v>6</v>
      </c>
      <c r="B11" s="16" t="s">
        <v>46</v>
      </c>
      <c r="C11" s="20" t="s">
        <v>47</v>
      </c>
      <c r="D11" s="40">
        <v>2</v>
      </c>
      <c r="E11" s="40">
        <v>2</v>
      </c>
      <c r="F11" s="36">
        <f t="shared" si="3"/>
        <v>4</v>
      </c>
      <c r="G11" s="3">
        <v>2</v>
      </c>
      <c r="H11" s="3">
        <v>2</v>
      </c>
      <c r="I11" s="36">
        <f t="shared" si="4"/>
        <v>4</v>
      </c>
      <c r="J11" s="3">
        <v>2</v>
      </c>
      <c r="K11" s="3">
        <v>0</v>
      </c>
      <c r="L11" s="36">
        <f t="shared" si="5"/>
        <v>2</v>
      </c>
      <c r="M11" s="3">
        <v>0</v>
      </c>
      <c r="N11" s="3">
        <v>0</v>
      </c>
      <c r="O11" s="3">
        <v>2</v>
      </c>
      <c r="P11" s="38">
        <f t="shared" si="6"/>
        <v>2</v>
      </c>
      <c r="Q11" s="3">
        <v>2</v>
      </c>
      <c r="R11" s="40">
        <f t="shared" si="0"/>
        <v>2</v>
      </c>
      <c r="S11" s="3">
        <v>2</v>
      </c>
      <c r="T11" s="3">
        <v>2</v>
      </c>
      <c r="U11" s="40">
        <f t="shared" si="1"/>
        <v>4</v>
      </c>
      <c r="V11" s="3">
        <v>2</v>
      </c>
      <c r="W11" s="40">
        <f t="shared" si="2"/>
        <v>2</v>
      </c>
      <c r="Z11" s="22">
        <f t="shared" si="7"/>
        <v>20</v>
      </c>
      <c r="AA11" s="22">
        <f t="shared" si="8"/>
        <v>76.923076923076934</v>
      </c>
    </row>
    <row r="12" spans="1:27" ht="18.75" x14ac:dyDescent="0.3">
      <c r="A12" s="2">
        <v>7</v>
      </c>
      <c r="B12" s="16" t="s">
        <v>48</v>
      </c>
      <c r="C12" s="20" t="s">
        <v>49</v>
      </c>
      <c r="D12" s="40">
        <v>2</v>
      </c>
      <c r="E12" s="40">
        <v>2</v>
      </c>
      <c r="F12" s="36">
        <f t="shared" si="3"/>
        <v>4</v>
      </c>
      <c r="G12" s="3">
        <v>2</v>
      </c>
      <c r="H12" s="3">
        <v>2</v>
      </c>
      <c r="I12" s="36">
        <f t="shared" si="4"/>
        <v>4</v>
      </c>
      <c r="J12" s="3">
        <v>2</v>
      </c>
      <c r="K12" s="3">
        <v>2</v>
      </c>
      <c r="L12" s="36">
        <f t="shared" si="5"/>
        <v>4</v>
      </c>
      <c r="M12" s="3">
        <v>2</v>
      </c>
      <c r="N12" s="3">
        <v>2</v>
      </c>
      <c r="O12" s="3">
        <v>2</v>
      </c>
      <c r="P12" s="38">
        <f t="shared" si="6"/>
        <v>6</v>
      </c>
      <c r="Q12" s="3">
        <v>2</v>
      </c>
      <c r="R12" s="40">
        <f t="shared" si="0"/>
        <v>2</v>
      </c>
      <c r="S12" s="3">
        <v>2</v>
      </c>
      <c r="T12" s="3">
        <v>2</v>
      </c>
      <c r="U12" s="40">
        <f t="shared" si="1"/>
        <v>4</v>
      </c>
      <c r="V12" s="3">
        <v>2</v>
      </c>
      <c r="W12" s="40">
        <f t="shared" si="2"/>
        <v>2</v>
      </c>
      <c r="Z12" s="22">
        <f t="shared" si="7"/>
        <v>26</v>
      </c>
      <c r="AA12" s="22">
        <f t="shared" si="8"/>
        <v>100</v>
      </c>
    </row>
    <row r="13" spans="1:27" ht="18.75" x14ac:dyDescent="0.3">
      <c r="A13" s="2">
        <v>8</v>
      </c>
      <c r="B13" s="16" t="s">
        <v>50</v>
      </c>
      <c r="C13" s="20" t="s">
        <v>51</v>
      </c>
      <c r="D13" s="40">
        <v>2</v>
      </c>
      <c r="E13" s="40">
        <v>2</v>
      </c>
      <c r="F13" s="36">
        <f t="shared" si="3"/>
        <v>4</v>
      </c>
      <c r="G13" s="3">
        <v>2</v>
      </c>
      <c r="H13" s="3">
        <v>2</v>
      </c>
      <c r="I13" s="36">
        <f t="shared" si="4"/>
        <v>4</v>
      </c>
      <c r="J13" s="3">
        <v>2</v>
      </c>
      <c r="K13" s="3">
        <v>2</v>
      </c>
      <c r="L13" s="36">
        <f t="shared" si="5"/>
        <v>4</v>
      </c>
      <c r="M13" s="3">
        <v>2</v>
      </c>
      <c r="N13" s="3">
        <v>2</v>
      </c>
      <c r="O13" s="3">
        <v>2</v>
      </c>
      <c r="P13" s="38">
        <f t="shared" si="6"/>
        <v>6</v>
      </c>
      <c r="Q13" s="3">
        <v>2</v>
      </c>
      <c r="R13" s="40">
        <f t="shared" si="0"/>
        <v>2</v>
      </c>
      <c r="S13" s="3">
        <v>2</v>
      </c>
      <c r="T13" s="3">
        <v>2</v>
      </c>
      <c r="U13" s="40">
        <f t="shared" si="1"/>
        <v>4</v>
      </c>
      <c r="V13" s="3">
        <v>2</v>
      </c>
      <c r="W13" s="40">
        <f t="shared" si="2"/>
        <v>2</v>
      </c>
      <c r="Z13" s="22">
        <f t="shared" si="7"/>
        <v>26</v>
      </c>
      <c r="AA13" s="22">
        <f t="shared" si="8"/>
        <v>100</v>
      </c>
    </row>
    <row r="14" spans="1:27" ht="18.75" x14ac:dyDescent="0.3">
      <c r="A14" s="2">
        <v>9</v>
      </c>
      <c r="B14" s="16" t="s">
        <v>52</v>
      </c>
      <c r="C14" s="20" t="s">
        <v>53</v>
      </c>
      <c r="D14" s="40">
        <v>2</v>
      </c>
      <c r="E14" s="40">
        <v>2</v>
      </c>
      <c r="F14" s="36">
        <f t="shared" si="3"/>
        <v>4</v>
      </c>
      <c r="G14" s="3">
        <v>2</v>
      </c>
      <c r="H14" s="3">
        <v>2</v>
      </c>
      <c r="I14" s="36">
        <f t="shared" si="4"/>
        <v>4</v>
      </c>
      <c r="J14" s="3">
        <v>0</v>
      </c>
      <c r="K14" s="3">
        <v>2</v>
      </c>
      <c r="L14" s="36">
        <f t="shared" si="5"/>
        <v>2</v>
      </c>
      <c r="M14" s="3">
        <v>2</v>
      </c>
      <c r="N14" s="3">
        <v>0</v>
      </c>
      <c r="O14" s="3">
        <v>0</v>
      </c>
      <c r="P14" s="38">
        <f t="shared" si="6"/>
        <v>2</v>
      </c>
      <c r="Q14" s="3">
        <v>2</v>
      </c>
      <c r="R14" s="40">
        <f t="shared" si="0"/>
        <v>2</v>
      </c>
      <c r="S14" s="3">
        <v>2</v>
      </c>
      <c r="T14" s="3">
        <v>2</v>
      </c>
      <c r="U14" s="40">
        <f t="shared" si="1"/>
        <v>4</v>
      </c>
      <c r="V14" s="3">
        <v>2</v>
      </c>
      <c r="W14" s="40">
        <f t="shared" si="2"/>
        <v>2</v>
      </c>
      <c r="Z14" s="22">
        <f t="shared" si="7"/>
        <v>20</v>
      </c>
      <c r="AA14" s="22">
        <f t="shared" si="8"/>
        <v>76.923076923076934</v>
      </c>
    </row>
    <row r="15" spans="1:27" ht="18.75" x14ac:dyDescent="0.3">
      <c r="A15" s="2">
        <v>10</v>
      </c>
      <c r="B15" s="16" t="s">
        <v>54</v>
      </c>
      <c r="C15" s="20" t="s">
        <v>55</v>
      </c>
      <c r="D15" s="40">
        <v>2</v>
      </c>
      <c r="E15" s="40">
        <v>2</v>
      </c>
      <c r="F15" s="36">
        <f t="shared" si="3"/>
        <v>4</v>
      </c>
      <c r="G15" s="3">
        <v>2</v>
      </c>
      <c r="H15" s="3">
        <v>2</v>
      </c>
      <c r="I15" s="36">
        <f t="shared" si="4"/>
        <v>4</v>
      </c>
      <c r="J15" s="3">
        <v>2</v>
      </c>
      <c r="K15" s="3">
        <v>2</v>
      </c>
      <c r="L15" s="36">
        <f t="shared" si="5"/>
        <v>4</v>
      </c>
      <c r="M15" s="3">
        <v>2</v>
      </c>
      <c r="N15" s="3">
        <v>0</v>
      </c>
      <c r="O15" s="3">
        <v>0</v>
      </c>
      <c r="P15" s="38">
        <f t="shared" si="6"/>
        <v>2</v>
      </c>
      <c r="Q15" s="3">
        <v>2</v>
      </c>
      <c r="R15" s="40">
        <f t="shared" si="0"/>
        <v>2</v>
      </c>
      <c r="S15" s="3">
        <v>2</v>
      </c>
      <c r="T15" s="3">
        <v>2</v>
      </c>
      <c r="U15" s="40">
        <f t="shared" si="1"/>
        <v>4</v>
      </c>
      <c r="V15" s="3">
        <v>2</v>
      </c>
      <c r="W15" s="40">
        <f t="shared" si="2"/>
        <v>2</v>
      </c>
      <c r="Z15" s="22">
        <f t="shared" si="7"/>
        <v>22</v>
      </c>
      <c r="AA15" s="22">
        <f t="shared" si="8"/>
        <v>84.615384615384613</v>
      </c>
    </row>
    <row r="16" spans="1:27" ht="18.75" x14ac:dyDescent="0.3">
      <c r="A16" s="2">
        <v>11</v>
      </c>
      <c r="B16" s="16" t="s">
        <v>56</v>
      </c>
      <c r="C16" s="20" t="s">
        <v>57</v>
      </c>
      <c r="D16" s="40">
        <v>2</v>
      </c>
      <c r="E16" s="40">
        <v>2</v>
      </c>
      <c r="F16" s="36">
        <f t="shared" si="3"/>
        <v>4</v>
      </c>
      <c r="G16" s="3">
        <v>2</v>
      </c>
      <c r="H16" s="3">
        <v>2</v>
      </c>
      <c r="I16" s="36">
        <f t="shared" si="4"/>
        <v>4</v>
      </c>
      <c r="J16" s="3">
        <v>0</v>
      </c>
      <c r="K16" s="3">
        <v>2</v>
      </c>
      <c r="L16" s="36">
        <f t="shared" si="5"/>
        <v>2</v>
      </c>
      <c r="M16" s="3">
        <v>0</v>
      </c>
      <c r="N16" s="3">
        <v>0</v>
      </c>
      <c r="O16" s="3">
        <v>2</v>
      </c>
      <c r="P16" s="38">
        <f t="shared" si="6"/>
        <v>2</v>
      </c>
      <c r="Q16" s="3">
        <v>2</v>
      </c>
      <c r="R16" s="40">
        <f t="shared" si="0"/>
        <v>2</v>
      </c>
      <c r="S16" s="3">
        <v>2</v>
      </c>
      <c r="T16" s="3">
        <v>2</v>
      </c>
      <c r="U16" s="40">
        <f t="shared" si="1"/>
        <v>4</v>
      </c>
      <c r="V16" s="3">
        <v>2</v>
      </c>
      <c r="W16" s="40">
        <f t="shared" si="2"/>
        <v>2</v>
      </c>
      <c r="Z16" s="22">
        <f t="shared" si="7"/>
        <v>20</v>
      </c>
      <c r="AA16" s="22">
        <f t="shared" si="8"/>
        <v>76.923076923076934</v>
      </c>
    </row>
    <row r="17" spans="1:27" ht="18.75" x14ac:dyDescent="0.3">
      <c r="A17" s="2">
        <v>12</v>
      </c>
      <c r="B17" s="16" t="s">
        <v>58</v>
      </c>
      <c r="C17" s="20" t="s">
        <v>59</v>
      </c>
      <c r="D17" s="40">
        <v>2</v>
      </c>
      <c r="E17" s="40">
        <v>2</v>
      </c>
      <c r="F17" s="36">
        <f t="shared" si="3"/>
        <v>4</v>
      </c>
      <c r="G17" s="3">
        <v>2</v>
      </c>
      <c r="H17" s="3">
        <v>2</v>
      </c>
      <c r="I17" s="36">
        <f t="shared" si="4"/>
        <v>4</v>
      </c>
      <c r="J17" s="3">
        <v>2</v>
      </c>
      <c r="K17" s="3">
        <v>2</v>
      </c>
      <c r="L17" s="36">
        <f t="shared" si="5"/>
        <v>4</v>
      </c>
      <c r="M17" s="3">
        <v>0</v>
      </c>
      <c r="N17" s="3">
        <v>0</v>
      </c>
      <c r="O17" s="3">
        <v>2</v>
      </c>
      <c r="P17" s="38">
        <f t="shared" si="6"/>
        <v>2</v>
      </c>
      <c r="Q17" s="3">
        <v>2</v>
      </c>
      <c r="R17" s="40">
        <f t="shared" si="0"/>
        <v>2</v>
      </c>
      <c r="S17" s="3">
        <v>2</v>
      </c>
      <c r="T17" s="3">
        <v>2</v>
      </c>
      <c r="U17" s="40">
        <f t="shared" si="1"/>
        <v>4</v>
      </c>
      <c r="V17" s="3">
        <v>2</v>
      </c>
      <c r="W17" s="40">
        <f t="shared" si="2"/>
        <v>2</v>
      </c>
      <c r="Z17" s="22">
        <f t="shared" si="7"/>
        <v>22</v>
      </c>
      <c r="AA17" s="22">
        <f t="shared" si="8"/>
        <v>84.615384615384613</v>
      </c>
    </row>
    <row r="18" spans="1:27" ht="18.75" x14ac:dyDescent="0.3">
      <c r="A18" s="2">
        <v>13</v>
      </c>
      <c r="B18" s="16" t="s">
        <v>60</v>
      </c>
      <c r="C18" s="20" t="s">
        <v>61</v>
      </c>
      <c r="D18" s="40">
        <v>2</v>
      </c>
      <c r="E18" s="40">
        <v>2</v>
      </c>
      <c r="F18" s="36">
        <f t="shared" si="3"/>
        <v>4</v>
      </c>
      <c r="G18" s="3">
        <v>2</v>
      </c>
      <c r="H18" s="3">
        <v>2</v>
      </c>
      <c r="I18" s="36">
        <f t="shared" si="4"/>
        <v>4</v>
      </c>
      <c r="J18" s="3">
        <v>2</v>
      </c>
      <c r="K18" s="3">
        <v>2</v>
      </c>
      <c r="L18" s="36">
        <f t="shared" si="5"/>
        <v>4</v>
      </c>
      <c r="M18" s="3">
        <v>2</v>
      </c>
      <c r="N18" s="3">
        <v>2</v>
      </c>
      <c r="O18" s="3">
        <v>2</v>
      </c>
      <c r="P18" s="38">
        <f t="shared" si="6"/>
        <v>6</v>
      </c>
      <c r="Q18" s="3">
        <v>2</v>
      </c>
      <c r="R18" s="40">
        <f t="shared" si="0"/>
        <v>2</v>
      </c>
      <c r="S18" s="3">
        <v>2</v>
      </c>
      <c r="T18" s="3">
        <v>2</v>
      </c>
      <c r="U18" s="40">
        <f t="shared" si="1"/>
        <v>4</v>
      </c>
      <c r="V18" s="3">
        <v>2</v>
      </c>
      <c r="W18" s="40">
        <f t="shared" si="2"/>
        <v>2</v>
      </c>
      <c r="Z18" s="22">
        <f t="shared" si="7"/>
        <v>26</v>
      </c>
      <c r="AA18" s="22">
        <f t="shared" si="8"/>
        <v>100</v>
      </c>
    </row>
    <row r="19" spans="1:27" ht="18.75" x14ac:dyDescent="0.3">
      <c r="A19" s="2">
        <v>14</v>
      </c>
      <c r="B19" s="16" t="s">
        <v>62</v>
      </c>
      <c r="C19" s="20" t="s">
        <v>63</v>
      </c>
      <c r="D19" s="40">
        <v>2</v>
      </c>
      <c r="E19" s="40">
        <v>2</v>
      </c>
      <c r="F19" s="36">
        <f t="shared" si="3"/>
        <v>4</v>
      </c>
      <c r="G19" s="3">
        <v>2</v>
      </c>
      <c r="H19" s="3">
        <v>2</v>
      </c>
      <c r="I19" s="36">
        <f t="shared" si="4"/>
        <v>4</v>
      </c>
      <c r="J19" s="3">
        <v>0</v>
      </c>
      <c r="K19" s="3">
        <v>2</v>
      </c>
      <c r="L19" s="36">
        <f t="shared" si="5"/>
        <v>2</v>
      </c>
      <c r="M19" s="3">
        <v>2</v>
      </c>
      <c r="N19" s="3">
        <v>0</v>
      </c>
      <c r="O19" s="3">
        <v>0</v>
      </c>
      <c r="P19" s="38">
        <f t="shared" si="6"/>
        <v>2</v>
      </c>
      <c r="Q19" s="3">
        <v>2</v>
      </c>
      <c r="R19" s="40">
        <f t="shared" si="0"/>
        <v>2</v>
      </c>
      <c r="S19" s="3">
        <v>2</v>
      </c>
      <c r="T19" s="3">
        <v>2</v>
      </c>
      <c r="U19" s="40">
        <f t="shared" si="1"/>
        <v>4</v>
      </c>
      <c r="V19" s="3">
        <v>2</v>
      </c>
      <c r="W19" s="40">
        <f t="shared" si="2"/>
        <v>2</v>
      </c>
      <c r="Z19" s="22">
        <f t="shared" si="7"/>
        <v>20</v>
      </c>
      <c r="AA19" s="22">
        <f t="shared" si="8"/>
        <v>76.923076923076934</v>
      </c>
    </row>
    <row r="20" spans="1:27" ht="18.75" x14ac:dyDescent="0.3">
      <c r="A20" s="2">
        <v>15</v>
      </c>
      <c r="B20" s="16" t="s">
        <v>64</v>
      </c>
      <c r="C20" s="20" t="s">
        <v>65</v>
      </c>
      <c r="D20" s="40">
        <v>2</v>
      </c>
      <c r="E20" s="40">
        <v>2</v>
      </c>
      <c r="F20" s="36">
        <f t="shared" si="3"/>
        <v>4</v>
      </c>
      <c r="G20" s="3">
        <v>2</v>
      </c>
      <c r="H20" s="3">
        <v>2</v>
      </c>
      <c r="I20" s="36">
        <f t="shared" si="4"/>
        <v>4</v>
      </c>
      <c r="J20" s="3">
        <v>2</v>
      </c>
      <c r="K20" s="3">
        <v>2</v>
      </c>
      <c r="L20" s="36">
        <f t="shared" si="5"/>
        <v>4</v>
      </c>
      <c r="M20" s="3">
        <v>2</v>
      </c>
      <c r="N20" s="3">
        <v>0</v>
      </c>
      <c r="O20" s="3">
        <v>0</v>
      </c>
      <c r="P20" s="38">
        <f t="shared" si="6"/>
        <v>2</v>
      </c>
      <c r="Q20" s="3">
        <v>2</v>
      </c>
      <c r="R20" s="40">
        <f t="shared" si="0"/>
        <v>2</v>
      </c>
      <c r="S20" s="3">
        <v>2</v>
      </c>
      <c r="T20" s="3">
        <v>2</v>
      </c>
      <c r="U20" s="40">
        <f t="shared" si="1"/>
        <v>4</v>
      </c>
      <c r="V20" s="3">
        <v>2</v>
      </c>
      <c r="W20" s="40">
        <f t="shared" si="2"/>
        <v>2</v>
      </c>
      <c r="Z20" s="22">
        <f t="shared" si="7"/>
        <v>22</v>
      </c>
      <c r="AA20" s="22">
        <f t="shared" si="8"/>
        <v>84.615384615384613</v>
      </c>
    </row>
    <row r="21" spans="1:27" ht="18.75" x14ac:dyDescent="0.3">
      <c r="A21" s="2">
        <v>16</v>
      </c>
      <c r="B21" s="16" t="s">
        <v>66</v>
      </c>
      <c r="C21" s="20" t="s">
        <v>67</v>
      </c>
      <c r="D21" s="40">
        <v>2</v>
      </c>
      <c r="E21" s="40">
        <v>2</v>
      </c>
      <c r="F21" s="36">
        <f t="shared" si="3"/>
        <v>4</v>
      </c>
      <c r="G21" s="3">
        <v>2</v>
      </c>
      <c r="H21" s="3">
        <v>2</v>
      </c>
      <c r="I21" s="36">
        <f t="shared" si="4"/>
        <v>4</v>
      </c>
      <c r="J21" s="3">
        <v>0</v>
      </c>
      <c r="K21" s="3">
        <v>2</v>
      </c>
      <c r="L21" s="36">
        <f t="shared" si="5"/>
        <v>2</v>
      </c>
      <c r="M21" s="3">
        <v>0</v>
      </c>
      <c r="N21" s="3">
        <v>0</v>
      </c>
      <c r="O21" s="3">
        <v>2</v>
      </c>
      <c r="P21" s="38">
        <f t="shared" si="6"/>
        <v>2</v>
      </c>
      <c r="Q21" s="3">
        <v>2</v>
      </c>
      <c r="R21" s="40">
        <f t="shared" si="0"/>
        <v>2</v>
      </c>
      <c r="S21" s="3">
        <v>2</v>
      </c>
      <c r="T21" s="3">
        <v>2</v>
      </c>
      <c r="U21" s="40">
        <f t="shared" si="1"/>
        <v>4</v>
      </c>
      <c r="V21" s="3">
        <v>2</v>
      </c>
      <c r="W21" s="40">
        <f t="shared" si="2"/>
        <v>2</v>
      </c>
      <c r="Z21" s="22">
        <f t="shared" si="7"/>
        <v>20</v>
      </c>
      <c r="AA21" s="22">
        <f t="shared" si="8"/>
        <v>76.923076923076934</v>
      </c>
    </row>
    <row r="22" spans="1:27" ht="18.75" x14ac:dyDescent="0.3">
      <c r="A22" s="2">
        <v>17</v>
      </c>
      <c r="B22" s="16" t="s">
        <v>68</v>
      </c>
      <c r="C22" s="20" t="s">
        <v>69</v>
      </c>
      <c r="D22" s="40">
        <v>2</v>
      </c>
      <c r="E22" s="40">
        <v>2</v>
      </c>
      <c r="F22" s="36">
        <f t="shared" si="3"/>
        <v>4</v>
      </c>
      <c r="G22" s="3">
        <v>2</v>
      </c>
      <c r="H22" s="3">
        <v>2</v>
      </c>
      <c r="I22" s="36">
        <f t="shared" si="4"/>
        <v>4</v>
      </c>
      <c r="J22" s="3">
        <v>2</v>
      </c>
      <c r="K22" s="3">
        <v>2</v>
      </c>
      <c r="L22" s="36">
        <f t="shared" si="5"/>
        <v>4</v>
      </c>
      <c r="M22" s="3">
        <v>0</v>
      </c>
      <c r="N22" s="3">
        <v>0</v>
      </c>
      <c r="O22" s="3">
        <v>2</v>
      </c>
      <c r="P22" s="38">
        <f t="shared" si="6"/>
        <v>2</v>
      </c>
      <c r="Q22" s="3">
        <v>2</v>
      </c>
      <c r="R22" s="40">
        <f t="shared" si="0"/>
        <v>2</v>
      </c>
      <c r="S22" s="3">
        <v>2</v>
      </c>
      <c r="T22" s="3">
        <v>2</v>
      </c>
      <c r="U22" s="40">
        <f t="shared" si="1"/>
        <v>4</v>
      </c>
      <c r="V22" s="3">
        <v>2</v>
      </c>
      <c r="W22" s="40">
        <f t="shared" si="2"/>
        <v>2</v>
      </c>
      <c r="Z22" s="22">
        <f t="shared" si="7"/>
        <v>22</v>
      </c>
      <c r="AA22" s="22">
        <f t="shared" si="8"/>
        <v>84.615384615384613</v>
      </c>
    </row>
    <row r="23" spans="1:27" ht="18.75" x14ac:dyDescent="0.3">
      <c r="A23" s="2">
        <v>18</v>
      </c>
      <c r="B23" s="16" t="s">
        <v>70</v>
      </c>
      <c r="C23" s="20" t="s">
        <v>71</v>
      </c>
      <c r="D23" s="40">
        <v>2</v>
      </c>
      <c r="E23" s="40">
        <v>2</v>
      </c>
      <c r="F23" s="36">
        <f t="shared" si="3"/>
        <v>4</v>
      </c>
      <c r="G23" s="3">
        <v>2</v>
      </c>
      <c r="H23" s="3">
        <v>2</v>
      </c>
      <c r="I23" s="36">
        <f t="shared" si="4"/>
        <v>4</v>
      </c>
      <c r="J23" s="3">
        <v>2</v>
      </c>
      <c r="K23" s="3">
        <v>0</v>
      </c>
      <c r="L23" s="36">
        <f t="shared" si="5"/>
        <v>2</v>
      </c>
      <c r="M23" s="3">
        <v>2</v>
      </c>
      <c r="N23" s="3">
        <v>0</v>
      </c>
      <c r="O23" s="3">
        <v>0</v>
      </c>
      <c r="P23" s="38">
        <f t="shared" si="6"/>
        <v>2</v>
      </c>
      <c r="Q23" s="3">
        <v>2</v>
      </c>
      <c r="R23" s="40">
        <f t="shared" si="0"/>
        <v>2</v>
      </c>
      <c r="S23" s="3">
        <v>2</v>
      </c>
      <c r="T23" s="3">
        <v>2</v>
      </c>
      <c r="U23" s="40">
        <f t="shared" si="1"/>
        <v>4</v>
      </c>
      <c r="V23" s="3">
        <v>2</v>
      </c>
      <c r="W23" s="40">
        <f t="shared" si="2"/>
        <v>2</v>
      </c>
      <c r="Z23" s="22">
        <f t="shared" si="7"/>
        <v>20</v>
      </c>
      <c r="AA23" s="22">
        <f t="shared" si="8"/>
        <v>76.923076923076934</v>
      </c>
    </row>
    <row r="24" spans="1:27" ht="18" x14ac:dyDescent="0.35">
      <c r="A24" s="2">
        <v>19</v>
      </c>
      <c r="B24" s="16" t="s">
        <v>72</v>
      </c>
      <c r="C24" s="20" t="s">
        <v>73</v>
      </c>
      <c r="D24" s="40">
        <v>2</v>
      </c>
      <c r="E24" s="40">
        <v>2</v>
      </c>
      <c r="F24" s="36">
        <f t="shared" si="3"/>
        <v>4</v>
      </c>
      <c r="G24" s="3">
        <v>2</v>
      </c>
      <c r="H24" s="3">
        <v>2</v>
      </c>
      <c r="I24" s="36">
        <f t="shared" si="4"/>
        <v>4</v>
      </c>
      <c r="J24" s="3">
        <v>2</v>
      </c>
      <c r="K24" s="3">
        <v>2</v>
      </c>
      <c r="L24" s="36">
        <f t="shared" si="5"/>
        <v>4</v>
      </c>
      <c r="M24" s="3">
        <v>2</v>
      </c>
      <c r="N24" s="3">
        <v>2</v>
      </c>
      <c r="O24" s="3">
        <v>2</v>
      </c>
      <c r="P24" s="38">
        <f t="shared" si="6"/>
        <v>6</v>
      </c>
      <c r="Q24" s="3">
        <v>2</v>
      </c>
      <c r="R24" s="40">
        <f t="shared" si="0"/>
        <v>2</v>
      </c>
      <c r="S24" s="3">
        <v>2</v>
      </c>
      <c r="T24" s="3">
        <v>2</v>
      </c>
      <c r="U24" s="40">
        <f t="shared" si="1"/>
        <v>4</v>
      </c>
      <c r="V24" s="3">
        <v>2</v>
      </c>
      <c r="W24" s="40">
        <f t="shared" si="2"/>
        <v>2</v>
      </c>
      <c r="Z24" s="22">
        <f t="shared" si="7"/>
        <v>26</v>
      </c>
      <c r="AA24" s="22">
        <f t="shared" si="8"/>
        <v>100</v>
      </c>
    </row>
    <row r="25" spans="1:27" ht="18" x14ac:dyDescent="0.35">
      <c r="A25" s="2">
        <v>20</v>
      </c>
      <c r="B25" s="16" t="s">
        <v>74</v>
      </c>
      <c r="C25" s="20" t="s">
        <v>75</v>
      </c>
      <c r="D25" s="40">
        <v>2</v>
      </c>
      <c r="E25" s="40">
        <v>2</v>
      </c>
      <c r="F25" s="36">
        <f t="shared" si="3"/>
        <v>4</v>
      </c>
      <c r="G25" s="3">
        <v>2</v>
      </c>
      <c r="H25" s="3">
        <v>2</v>
      </c>
      <c r="I25" s="36">
        <f t="shared" si="4"/>
        <v>4</v>
      </c>
      <c r="J25" s="3">
        <v>2</v>
      </c>
      <c r="K25" s="3">
        <v>0</v>
      </c>
      <c r="L25" s="36">
        <f t="shared" si="5"/>
        <v>2</v>
      </c>
      <c r="M25" s="3">
        <v>0</v>
      </c>
      <c r="N25" s="3">
        <v>0</v>
      </c>
      <c r="O25" s="3">
        <v>2</v>
      </c>
      <c r="P25" s="38">
        <f t="shared" si="6"/>
        <v>2</v>
      </c>
      <c r="Q25" s="3">
        <v>2</v>
      </c>
      <c r="R25" s="40">
        <f t="shared" si="0"/>
        <v>2</v>
      </c>
      <c r="S25" s="3">
        <v>2</v>
      </c>
      <c r="T25" s="3">
        <v>2</v>
      </c>
      <c r="U25" s="40">
        <f t="shared" si="1"/>
        <v>4</v>
      </c>
      <c r="V25" s="3">
        <v>2</v>
      </c>
      <c r="W25" s="40">
        <f t="shared" si="2"/>
        <v>2</v>
      </c>
      <c r="Z25" s="22">
        <f t="shared" si="7"/>
        <v>20</v>
      </c>
      <c r="AA25" s="22">
        <f t="shared" si="8"/>
        <v>76.923076923076934</v>
      </c>
    </row>
    <row r="26" spans="1:27" ht="18" x14ac:dyDescent="0.35">
      <c r="A26" s="2">
        <v>21</v>
      </c>
      <c r="B26" s="16" t="s">
        <v>76</v>
      </c>
      <c r="C26" s="20" t="s">
        <v>77</v>
      </c>
      <c r="D26" s="40">
        <v>2</v>
      </c>
      <c r="E26" s="40">
        <v>2</v>
      </c>
      <c r="F26" s="36">
        <f t="shared" si="3"/>
        <v>4</v>
      </c>
      <c r="G26" s="3">
        <v>2</v>
      </c>
      <c r="H26" s="3">
        <v>2</v>
      </c>
      <c r="I26" s="36">
        <f t="shared" si="4"/>
        <v>4</v>
      </c>
      <c r="J26" s="3">
        <v>2</v>
      </c>
      <c r="K26" s="3">
        <v>2</v>
      </c>
      <c r="L26" s="36">
        <f t="shared" si="5"/>
        <v>4</v>
      </c>
      <c r="M26" s="3">
        <v>2</v>
      </c>
      <c r="N26" s="3">
        <v>0</v>
      </c>
      <c r="O26" s="3">
        <v>0</v>
      </c>
      <c r="P26" s="38">
        <f t="shared" si="6"/>
        <v>2</v>
      </c>
      <c r="Q26" s="3">
        <v>2</v>
      </c>
      <c r="R26" s="40">
        <f t="shared" si="0"/>
        <v>2</v>
      </c>
      <c r="S26" s="3">
        <v>2</v>
      </c>
      <c r="T26" s="3">
        <v>2</v>
      </c>
      <c r="U26" s="40">
        <f t="shared" si="1"/>
        <v>4</v>
      </c>
      <c r="V26" s="3">
        <v>2</v>
      </c>
      <c r="W26" s="40">
        <f t="shared" si="2"/>
        <v>2</v>
      </c>
      <c r="Z26" s="22">
        <f t="shared" si="7"/>
        <v>22</v>
      </c>
      <c r="AA26" s="22">
        <f t="shared" si="8"/>
        <v>84.615384615384613</v>
      </c>
    </row>
    <row r="27" spans="1:27" ht="18" x14ac:dyDescent="0.35">
      <c r="A27" s="2">
        <v>22</v>
      </c>
      <c r="B27" s="16" t="s">
        <v>78</v>
      </c>
      <c r="C27" s="20" t="s">
        <v>79</v>
      </c>
      <c r="D27" s="40">
        <v>2</v>
      </c>
      <c r="E27" s="40">
        <v>2</v>
      </c>
      <c r="F27" s="36">
        <f t="shared" si="3"/>
        <v>4</v>
      </c>
      <c r="G27" s="3">
        <v>2</v>
      </c>
      <c r="H27" s="3">
        <v>2</v>
      </c>
      <c r="I27" s="36">
        <f t="shared" si="4"/>
        <v>4</v>
      </c>
      <c r="J27" s="3">
        <v>2</v>
      </c>
      <c r="K27" s="3">
        <v>0</v>
      </c>
      <c r="L27" s="36">
        <f t="shared" si="5"/>
        <v>2</v>
      </c>
      <c r="M27" s="3">
        <v>2</v>
      </c>
      <c r="N27" s="3">
        <v>2</v>
      </c>
      <c r="O27" s="3">
        <v>2</v>
      </c>
      <c r="P27" s="38">
        <f t="shared" si="6"/>
        <v>6</v>
      </c>
      <c r="Q27" s="3">
        <v>2</v>
      </c>
      <c r="R27" s="40">
        <f t="shared" si="0"/>
        <v>2</v>
      </c>
      <c r="S27" s="3">
        <v>0</v>
      </c>
      <c r="T27" s="3">
        <v>0</v>
      </c>
      <c r="U27" s="40">
        <f t="shared" si="1"/>
        <v>0</v>
      </c>
      <c r="V27" s="3">
        <v>2</v>
      </c>
      <c r="W27" s="40">
        <f t="shared" si="2"/>
        <v>2</v>
      </c>
      <c r="Z27" s="22">
        <f t="shared" si="7"/>
        <v>20</v>
      </c>
      <c r="AA27" s="22">
        <f t="shared" si="8"/>
        <v>76.923076923076934</v>
      </c>
    </row>
    <row r="28" spans="1:27" ht="18" x14ac:dyDescent="0.35">
      <c r="A28" s="2">
        <v>23</v>
      </c>
      <c r="B28" s="16" t="s">
        <v>80</v>
      </c>
      <c r="C28" s="20" t="s">
        <v>81</v>
      </c>
      <c r="D28" s="40">
        <v>2</v>
      </c>
      <c r="E28" s="40">
        <v>2</v>
      </c>
      <c r="F28" s="36">
        <f t="shared" si="3"/>
        <v>4</v>
      </c>
      <c r="G28" s="3">
        <v>2</v>
      </c>
      <c r="H28" s="3">
        <v>2</v>
      </c>
      <c r="I28" s="36">
        <f t="shared" si="4"/>
        <v>4</v>
      </c>
      <c r="J28" s="3">
        <v>2</v>
      </c>
      <c r="K28" s="3">
        <v>2</v>
      </c>
      <c r="L28" s="36">
        <f t="shared" si="5"/>
        <v>4</v>
      </c>
      <c r="M28" s="3">
        <v>0</v>
      </c>
      <c r="N28" s="3">
        <v>0</v>
      </c>
      <c r="O28" s="3">
        <v>2</v>
      </c>
      <c r="P28" s="38">
        <f t="shared" si="6"/>
        <v>2</v>
      </c>
      <c r="Q28" s="3">
        <v>2</v>
      </c>
      <c r="R28" s="40">
        <f t="shared" si="0"/>
        <v>2</v>
      </c>
      <c r="S28" s="3">
        <v>2</v>
      </c>
      <c r="T28" s="3">
        <v>2</v>
      </c>
      <c r="U28" s="40">
        <f t="shared" si="1"/>
        <v>4</v>
      </c>
      <c r="V28" s="3">
        <v>2</v>
      </c>
      <c r="W28" s="40">
        <f t="shared" si="2"/>
        <v>2</v>
      </c>
      <c r="Z28" s="22">
        <f t="shared" si="7"/>
        <v>22</v>
      </c>
      <c r="AA28" s="22">
        <f t="shared" si="8"/>
        <v>84.615384615384613</v>
      </c>
    </row>
    <row r="29" spans="1:27" ht="18" x14ac:dyDescent="0.35">
      <c r="A29" s="2">
        <v>24</v>
      </c>
      <c r="B29" s="16" t="s">
        <v>82</v>
      </c>
      <c r="C29" s="20" t="s">
        <v>83</v>
      </c>
      <c r="D29" s="40">
        <v>2</v>
      </c>
      <c r="E29" s="40">
        <v>2</v>
      </c>
      <c r="F29" s="36">
        <f t="shared" si="3"/>
        <v>4</v>
      </c>
      <c r="G29" s="3">
        <v>2</v>
      </c>
      <c r="H29" s="3">
        <v>2</v>
      </c>
      <c r="I29" s="36">
        <f t="shared" si="4"/>
        <v>4</v>
      </c>
      <c r="J29" s="3">
        <v>2</v>
      </c>
      <c r="K29" s="3">
        <v>0</v>
      </c>
      <c r="L29" s="36">
        <f t="shared" si="5"/>
        <v>2</v>
      </c>
      <c r="M29" s="3">
        <v>2</v>
      </c>
      <c r="N29" s="3">
        <v>2</v>
      </c>
      <c r="O29" s="3">
        <v>2</v>
      </c>
      <c r="P29" s="38">
        <f t="shared" si="6"/>
        <v>6</v>
      </c>
      <c r="Q29" s="3">
        <v>2</v>
      </c>
      <c r="R29" s="40">
        <f t="shared" si="0"/>
        <v>2</v>
      </c>
      <c r="S29" s="3">
        <v>0</v>
      </c>
      <c r="T29" s="3">
        <v>0</v>
      </c>
      <c r="U29" s="40">
        <f t="shared" si="1"/>
        <v>0</v>
      </c>
      <c r="V29" s="3">
        <v>2</v>
      </c>
      <c r="W29" s="40">
        <f t="shared" si="2"/>
        <v>2</v>
      </c>
      <c r="Z29" s="22">
        <f t="shared" si="7"/>
        <v>20</v>
      </c>
      <c r="AA29" s="22">
        <f t="shared" si="8"/>
        <v>76.923076923076934</v>
      </c>
    </row>
    <row r="30" spans="1:27" ht="18" x14ac:dyDescent="0.35">
      <c r="A30" s="2">
        <v>25</v>
      </c>
      <c r="B30" s="16" t="s">
        <v>84</v>
      </c>
      <c r="C30" s="20" t="s">
        <v>85</v>
      </c>
      <c r="D30" s="40">
        <v>2</v>
      </c>
      <c r="E30" s="40">
        <v>2</v>
      </c>
      <c r="F30" s="36">
        <f t="shared" si="3"/>
        <v>4</v>
      </c>
      <c r="G30" s="3">
        <v>2</v>
      </c>
      <c r="H30" s="3">
        <v>2</v>
      </c>
      <c r="I30" s="36">
        <f t="shared" si="4"/>
        <v>4</v>
      </c>
      <c r="J30" s="3">
        <v>2</v>
      </c>
      <c r="K30" s="3">
        <v>2</v>
      </c>
      <c r="L30" s="36">
        <f t="shared" si="5"/>
        <v>4</v>
      </c>
      <c r="M30" s="3">
        <v>2</v>
      </c>
      <c r="N30" s="3">
        <v>0</v>
      </c>
      <c r="O30" s="3">
        <v>0</v>
      </c>
      <c r="P30" s="38">
        <f t="shared" si="6"/>
        <v>2</v>
      </c>
      <c r="Q30" s="3">
        <v>2</v>
      </c>
      <c r="R30" s="40">
        <f t="shared" si="0"/>
        <v>2</v>
      </c>
      <c r="S30" s="3">
        <v>2</v>
      </c>
      <c r="T30" s="3">
        <v>2</v>
      </c>
      <c r="U30" s="40">
        <f t="shared" si="1"/>
        <v>4</v>
      </c>
      <c r="V30" s="3">
        <v>2</v>
      </c>
      <c r="W30" s="40">
        <f t="shared" si="2"/>
        <v>2</v>
      </c>
      <c r="Z30" s="22">
        <f t="shared" si="7"/>
        <v>22</v>
      </c>
      <c r="AA30" s="22">
        <f t="shared" si="8"/>
        <v>84.615384615384613</v>
      </c>
    </row>
    <row r="31" spans="1:27" ht="18" x14ac:dyDescent="0.35">
      <c r="A31" s="2">
        <v>26</v>
      </c>
      <c r="B31" s="16" t="s">
        <v>86</v>
      </c>
      <c r="C31" s="20" t="s">
        <v>87</v>
      </c>
      <c r="D31" s="40">
        <v>2</v>
      </c>
      <c r="E31" s="40">
        <v>2</v>
      </c>
      <c r="F31" s="36">
        <f t="shared" si="3"/>
        <v>4</v>
      </c>
      <c r="G31" s="3">
        <v>2</v>
      </c>
      <c r="H31" s="3">
        <v>0</v>
      </c>
      <c r="I31" s="36">
        <f t="shared" si="4"/>
        <v>2</v>
      </c>
      <c r="J31" s="3">
        <v>2</v>
      </c>
      <c r="K31" s="3">
        <v>2</v>
      </c>
      <c r="L31" s="36">
        <f t="shared" si="5"/>
        <v>4</v>
      </c>
      <c r="M31" s="3">
        <v>2</v>
      </c>
      <c r="N31" s="3">
        <v>0</v>
      </c>
      <c r="O31" s="3">
        <v>0</v>
      </c>
      <c r="P31" s="38">
        <f t="shared" si="6"/>
        <v>2</v>
      </c>
      <c r="Q31" s="3">
        <v>2</v>
      </c>
      <c r="R31" s="40">
        <f t="shared" si="0"/>
        <v>2</v>
      </c>
      <c r="S31" s="3">
        <v>2</v>
      </c>
      <c r="T31" s="3">
        <v>2</v>
      </c>
      <c r="U31" s="40">
        <f t="shared" si="1"/>
        <v>4</v>
      </c>
      <c r="V31" s="3">
        <v>2</v>
      </c>
      <c r="W31" s="40">
        <f t="shared" si="2"/>
        <v>2</v>
      </c>
      <c r="Z31" s="22">
        <f t="shared" si="7"/>
        <v>20</v>
      </c>
      <c r="AA31" s="22">
        <f t="shared" si="8"/>
        <v>76.923076923076934</v>
      </c>
    </row>
    <row r="32" spans="1:27" ht="18" x14ac:dyDescent="0.35">
      <c r="A32" s="2">
        <v>27</v>
      </c>
      <c r="B32" s="16" t="s">
        <v>88</v>
      </c>
      <c r="C32" s="20" t="s">
        <v>89</v>
      </c>
      <c r="D32" s="40">
        <v>2</v>
      </c>
      <c r="E32" s="40">
        <v>2</v>
      </c>
      <c r="F32" s="36">
        <f t="shared" si="3"/>
        <v>4</v>
      </c>
      <c r="G32" s="3">
        <v>2</v>
      </c>
      <c r="H32" s="3">
        <v>2</v>
      </c>
      <c r="I32" s="36">
        <f t="shared" si="4"/>
        <v>4</v>
      </c>
      <c r="J32" s="3">
        <v>2</v>
      </c>
      <c r="K32" s="3">
        <v>2</v>
      </c>
      <c r="L32" s="36">
        <f t="shared" si="5"/>
        <v>4</v>
      </c>
      <c r="M32" s="3">
        <v>0</v>
      </c>
      <c r="N32" s="3">
        <v>0</v>
      </c>
      <c r="O32" s="3">
        <v>2</v>
      </c>
      <c r="P32" s="38">
        <f t="shared" si="6"/>
        <v>2</v>
      </c>
      <c r="Q32" s="3">
        <v>2</v>
      </c>
      <c r="R32" s="40">
        <f t="shared" si="0"/>
        <v>2</v>
      </c>
      <c r="S32" s="3">
        <v>2</v>
      </c>
      <c r="T32" s="3">
        <v>2</v>
      </c>
      <c r="U32" s="40">
        <f t="shared" si="1"/>
        <v>4</v>
      </c>
      <c r="V32" s="3">
        <v>2</v>
      </c>
      <c r="W32" s="40">
        <f t="shared" si="2"/>
        <v>2</v>
      </c>
      <c r="Z32" s="22">
        <f t="shared" si="7"/>
        <v>22</v>
      </c>
      <c r="AA32" s="22">
        <f t="shared" si="8"/>
        <v>84.615384615384613</v>
      </c>
    </row>
    <row r="33" spans="1:27" ht="18" x14ac:dyDescent="0.35">
      <c r="A33" s="2">
        <v>28</v>
      </c>
      <c r="B33" s="16" t="s">
        <v>90</v>
      </c>
      <c r="C33" s="20" t="s">
        <v>91</v>
      </c>
      <c r="D33" s="40">
        <v>2</v>
      </c>
      <c r="E33" s="40">
        <v>2</v>
      </c>
      <c r="F33" s="36">
        <f t="shared" si="3"/>
        <v>4</v>
      </c>
      <c r="G33" s="3">
        <v>2</v>
      </c>
      <c r="H33" s="3">
        <v>0</v>
      </c>
      <c r="I33" s="36">
        <f t="shared" si="4"/>
        <v>2</v>
      </c>
      <c r="J33" s="3">
        <v>2</v>
      </c>
      <c r="K33" s="3">
        <v>2</v>
      </c>
      <c r="L33" s="36">
        <f t="shared" si="5"/>
        <v>4</v>
      </c>
      <c r="M33" s="3">
        <v>0</v>
      </c>
      <c r="N33" s="3">
        <v>0</v>
      </c>
      <c r="O33" s="3">
        <v>2</v>
      </c>
      <c r="P33" s="38">
        <f t="shared" si="6"/>
        <v>2</v>
      </c>
      <c r="Q33" s="3">
        <v>2</v>
      </c>
      <c r="R33" s="40">
        <f t="shared" si="0"/>
        <v>2</v>
      </c>
      <c r="S33" s="3">
        <v>2</v>
      </c>
      <c r="T33" s="3">
        <v>2</v>
      </c>
      <c r="U33" s="40">
        <f t="shared" si="1"/>
        <v>4</v>
      </c>
      <c r="V33" s="3">
        <v>2</v>
      </c>
      <c r="W33" s="40">
        <f t="shared" si="2"/>
        <v>2</v>
      </c>
      <c r="Z33" s="22">
        <f t="shared" si="7"/>
        <v>20</v>
      </c>
      <c r="AA33" s="22">
        <f t="shared" si="8"/>
        <v>76.923076923076934</v>
      </c>
    </row>
    <row r="34" spans="1:27" ht="18" x14ac:dyDescent="0.35">
      <c r="A34" s="2">
        <v>29</v>
      </c>
      <c r="B34" s="16" t="s">
        <v>92</v>
      </c>
      <c r="C34" s="20" t="s">
        <v>93</v>
      </c>
      <c r="D34" s="40">
        <v>2</v>
      </c>
      <c r="E34" s="40">
        <v>2</v>
      </c>
      <c r="F34" s="36">
        <f t="shared" si="3"/>
        <v>4</v>
      </c>
      <c r="G34" s="3">
        <v>2</v>
      </c>
      <c r="H34" s="3">
        <v>0</v>
      </c>
      <c r="I34" s="36">
        <f t="shared" si="4"/>
        <v>2</v>
      </c>
      <c r="J34" s="3">
        <v>2</v>
      </c>
      <c r="K34" s="3">
        <v>2</v>
      </c>
      <c r="L34" s="36">
        <f t="shared" si="5"/>
        <v>4</v>
      </c>
      <c r="M34" s="3">
        <v>2</v>
      </c>
      <c r="N34" s="3">
        <v>2</v>
      </c>
      <c r="O34" s="3">
        <v>2</v>
      </c>
      <c r="P34" s="38">
        <f t="shared" si="6"/>
        <v>6</v>
      </c>
      <c r="Q34" s="3">
        <v>2</v>
      </c>
      <c r="R34" s="40">
        <f t="shared" si="0"/>
        <v>2</v>
      </c>
      <c r="S34" s="3">
        <v>0</v>
      </c>
      <c r="T34" s="3">
        <v>0</v>
      </c>
      <c r="U34" s="40">
        <f t="shared" si="1"/>
        <v>0</v>
      </c>
      <c r="V34" s="3">
        <v>2</v>
      </c>
      <c r="W34" s="40">
        <f t="shared" si="2"/>
        <v>2</v>
      </c>
      <c r="Z34" s="22">
        <f t="shared" si="7"/>
        <v>20</v>
      </c>
      <c r="AA34" s="22">
        <f t="shared" si="8"/>
        <v>76.923076923076934</v>
      </c>
    </row>
    <row r="35" spans="1:27" ht="18" x14ac:dyDescent="0.35">
      <c r="A35" s="2">
        <v>30</v>
      </c>
      <c r="B35" s="16" t="s">
        <v>94</v>
      </c>
      <c r="C35" s="20" t="s">
        <v>95</v>
      </c>
      <c r="D35" s="40">
        <v>2</v>
      </c>
      <c r="E35" s="40">
        <v>2</v>
      </c>
      <c r="F35" s="36">
        <f t="shared" si="3"/>
        <v>4</v>
      </c>
      <c r="G35" s="3">
        <v>2</v>
      </c>
      <c r="H35" s="3">
        <v>2</v>
      </c>
      <c r="I35" s="36">
        <f t="shared" si="4"/>
        <v>4</v>
      </c>
      <c r="J35" s="3">
        <v>2</v>
      </c>
      <c r="K35" s="3">
        <v>2</v>
      </c>
      <c r="L35" s="36">
        <f t="shared" si="5"/>
        <v>4</v>
      </c>
      <c r="M35" s="3">
        <v>2</v>
      </c>
      <c r="N35" s="3">
        <v>0</v>
      </c>
      <c r="O35" s="3">
        <v>0</v>
      </c>
      <c r="P35" s="38">
        <f t="shared" si="6"/>
        <v>2</v>
      </c>
      <c r="Q35" s="3">
        <v>2</v>
      </c>
      <c r="R35" s="40">
        <f t="shared" si="0"/>
        <v>2</v>
      </c>
      <c r="S35" s="3">
        <v>2</v>
      </c>
      <c r="T35" s="3">
        <v>2</v>
      </c>
      <c r="U35" s="40">
        <f t="shared" si="1"/>
        <v>4</v>
      </c>
      <c r="V35" s="3">
        <v>2</v>
      </c>
      <c r="W35" s="40">
        <f t="shared" si="2"/>
        <v>2</v>
      </c>
      <c r="Z35" s="22">
        <f t="shared" si="7"/>
        <v>22</v>
      </c>
      <c r="AA35" s="22">
        <f t="shared" si="8"/>
        <v>84.615384615384613</v>
      </c>
    </row>
    <row r="36" spans="1:27" ht="18" x14ac:dyDescent="0.35">
      <c r="A36" s="2">
        <v>31</v>
      </c>
      <c r="B36" s="16" t="s">
        <v>96</v>
      </c>
      <c r="C36" s="20" t="s">
        <v>97</v>
      </c>
      <c r="D36" s="40">
        <v>2</v>
      </c>
      <c r="E36" s="40">
        <v>2</v>
      </c>
      <c r="F36" s="36">
        <f t="shared" si="3"/>
        <v>4</v>
      </c>
      <c r="G36" s="3">
        <v>2</v>
      </c>
      <c r="H36" s="3">
        <v>0</v>
      </c>
      <c r="I36" s="36">
        <f t="shared" si="4"/>
        <v>2</v>
      </c>
      <c r="J36" s="3">
        <v>2</v>
      </c>
      <c r="K36" s="3">
        <v>2</v>
      </c>
      <c r="L36" s="36">
        <f t="shared" si="5"/>
        <v>4</v>
      </c>
      <c r="M36" s="3">
        <v>2</v>
      </c>
      <c r="N36" s="3">
        <v>0</v>
      </c>
      <c r="O36" s="3">
        <v>0</v>
      </c>
      <c r="P36" s="38">
        <f t="shared" si="6"/>
        <v>2</v>
      </c>
      <c r="Q36" s="3">
        <v>2</v>
      </c>
      <c r="R36" s="40">
        <f t="shared" si="0"/>
        <v>2</v>
      </c>
      <c r="S36" s="3">
        <v>2</v>
      </c>
      <c r="T36" s="3">
        <v>2</v>
      </c>
      <c r="U36" s="40">
        <f t="shared" si="1"/>
        <v>4</v>
      </c>
      <c r="V36" s="3">
        <v>2</v>
      </c>
      <c r="W36" s="40">
        <f t="shared" si="2"/>
        <v>2</v>
      </c>
      <c r="Z36" s="22">
        <f t="shared" si="7"/>
        <v>20</v>
      </c>
      <c r="AA36" s="22">
        <f t="shared" si="8"/>
        <v>76.923076923076934</v>
      </c>
    </row>
    <row r="37" spans="1:27" ht="18" x14ac:dyDescent="0.35">
      <c r="A37" s="2">
        <v>32</v>
      </c>
      <c r="B37" s="16" t="s">
        <v>98</v>
      </c>
      <c r="C37" s="20" t="s">
        <v>99</v>
      </c>
      <c r="D37" s="40">
        <v>2</v>
      </c>
      <c r="E37" s="40">
        <v>2</v>
      </c>
      <c r="F37" s="36">
        <f t="shared" si="3"/>
        <v>4</v>
      </c>
      <c r="G37" s="3">
        <v>2</v>
      </c>
      <c r="H37" s="3">
        <v>0</v>
      </c>
      <c r="I37" s="36">
        <f t="shared" si="4"/>
        <v>2</v>
      </c>
      <c r="J37" s="3">
        <v>2</v>
      </c>
      <c r="K37" s="3">
        <v>2</v>
      </c>
      <c r="L37" s="36">
        <f t="shared" si="5"/>
        <v>4</v>
      </c>
      <c r="M37" s="3">
        <v>0</v>
      </c>
      <c r="N37" s="3">
        <v>0</v>
      </c>
      <c r="O37" s="3">
        <v>2</v>
      </c>
      <c r="P37" s="38">
        <f t="shared" si="6"/>
        <v>2</v>
      </c>
      <c r="Q37" s="3">
        <v>2</v>
      </c>
      <c r="R37" s="40">
        <f t="shared" ref="R37:R68" si="9">SUM(Q37:Q37)</f>
        <v>2</v>
      </c>
      <c r="S37" s="3">
        <v>2</v>
      </c>
      <c r="T37" s="3">
        <v>2</v>
      </c>
      <c r="U37" s="40">
        <f t="shared" ref="U37:U68" si="10">SUM(S37:T37)</f>
        <v>4</v>
      </c>
      <c r="V37" s="3">
        <v>2</v>
      </c>
      <c r="W37" s="40">
        <f t="shared" ref="W37:W68" si="11">SUM(V37:V37)</f>
        <v>2</v>
      </c>
      <c r="Z37" s="22">
        <f t="shared" si="7"/>
        <v>20</v>
      </c>
      <c r="AA37" s="22">
        <f t="shared" si="8"/>
        <v>76.923076923076934</v>
      </c>
    </row>
    <row r="38" spans="1:27" ht="18" x14ac:dyDescent="0.35">
      <c r="A38" s="2">
        <v>33</v>
      </c>
      <c r="B38" s="16" t="s">
        <v>100</v>
      </c>
      <c r="C38" s="20" t="s">
        <v>101</v>
      </c>
      <c r="D38" s="40">
        <v>2</v>
      </c>
      <c r="E38" s="40">
        <v>2</v>
      </c>
      <c r="F38" s="36">
        <f t="shared" si="3"/>
        <v>4</v>
      </c>
      <c r="G38" s="3">
        <v>2</v>
      </c>
      <c r="H38" s="3">
        <v>0</v>
      </c>
      <c r="I38" s="36">
        <f t="shared" si="4"/>
        <v>2</v>
      </c>
      <c r="J38" s="3">
        <v>2</v>
      </c>
      <c r="K38" s="3">
        <v>2</v>
      </c>
      <c r="L38" s="36">
        <f t="shared" si="5"/>
        <v>4</v>
      </c>
      <c r="M38" s="3">
        <v>2</v>
      </c>
      <c r="N38" s="3">
        <v>2</v>
      </c>
      <c r="O38" s="3">
        <v>2</v>
      </c>
      <c r="P38" s="38">
        <f t="shared" si="6"/>
        <v>6</v>
      </c>
      <c r="Q38" s="3">
        <v>2</v>
      </c>
      <c r="R38" s="40">
        <f t="shared" si="9"/>
        <v>2</v>
      </c>
      <c r="S38" s="3">
        <v>0</v>
      </c>
      <c r="T38" s="3">
        <v>0</v>
      </c>
      <c r="U38" s="40">
        <f t="shared" si="10"/>
        <v>0</v>
      </c>
      <c r="V38" s="3">
        <v>2</v>
      </c>
      <c r="W38" s="40">
        <f t="shared" si="11"/>
        <v>2</v>
      </c>
      <c r="Z38" s="22">
        <f t="shared" si="7"/>
        <v>20</v>
      </c>
      <c r="AA38" s="22">
        <f t="shared" si="8"/>
        <v>76.923076923076934</v>
      </c>
    </row>
    <row r="39" spans="1:27" ht="18" x14ac:dyDescent="0.35">
      <c r="A39" s="2">
        <v>34</v>
      </c>
      <c r="B39" s="16" t="s">
        <v>102</v>
      </c>
      <c r="C39" s="20" t="s">
        <v>103</v>
      </c>
      <c r="D39" s="40">
        <v>2</v>
      </c>
      <c r="E39" s="40">
        <v>2</v>
      </c>
      <c r="F39" s="36">
        <f t="shared" si="3"/>
        <v>4</v>
      </c>
      <c r="G39" s="3">
        <v>2</v>
      </c>
      <c r="H39" s="3">
        <v>0</v>
      </c>
      <c r="I39" s="36">
        <f t="shared" si="4"/>
        <v>2</v>
      </c>
      <c r="J39" s="3">
        <v>2</v>
      </c>
      <c r="K39" s="3">
        <v>2</v>
      </c>
      <c r="L39" s="36">
        <f t="shared" si="5"/>
        <v>4</v>
      </c>
      <c r="M39" s="3">
        <v>2</v>
      </c>
      <c r="N39" s="3">
        <v>0</v>
      </c>
      <c r="O39" s="3">
        <v>0</v>
      </c>
      <c r="P39" s="38">
        <f t="shared" si="6"/>
        <v>2</v>
      </c>
      <c r="Q39" s="3">
        <v>2</v>
      </c>
      <c r="R39" s="40">
        <f t="shared" si="9"/>
        <v>2</v>
      </c>
      <c r="S39" s="3">
        <v>2</v>
      </c>
      <c r="T39" s="3">
        <v>2</v>
      </c>
      <c r="U39" s="40">
        <f t="shared" si="10"/>
        <v>4</v>
      </c>
      <c r="V39" s="3">
        <v>2</v>
      </c>
      <c r="W39" s="40">
        <f t="shared" si="11"/>
        <v>2</v>
      </c>
      <c r="Z39" s="22">
        <f t="shared" si="7"/>
        <v>20</v>
      </c>
      <c r="AA39" s="22">
        <f t="shared" si="8"/>
        <v>76.923076923076934</v>
      </c>
    </row>
    <row r="40" spans="1:27" ht="18" x14ac:dyDescent="0.35">
      <c r="A40" s="2">
        <v>35</v>
      </c>
      <c r="B40" s="16" t="s">
        <v>104</v>
      </c>
      <c r="C40" s="20" t="s">
        <v>105</v>
      </c>
      <c r="D40" s="40">
        <v>2</v>
      </c>
      <c r="E40" s="40">
        <v>2</v>
      </c>
      <c r="F40" s="36">
        <f t="shared" si="3"/>
        <v>4</v>
      </c>
      <c r="G40" s="3">
        <v>2</v>
      </c>
      <c r="H40" s="3">
        <v>0</v>
      </c>
      <c r="I40" s="36">
        <f t="shared" si="4"/>
        <v>2</v>
      </c>
      <c r="J40" s="3">
        <v>2</v>
      </c>
      <c r="K40" s="3">
        <v>2</v>
      </c>
      <c r="L40" s="36">
        <f t="shared" si="5"/>
        <v>4</v>
      </c>
      <c r="M40" s="3">
        <v>2</v>
      </c>
      <c r="N40" s="3">
        <v>2</v>
      </c>
      <c r="O40" s="3">
        <v>2</v>
      </c>
      <c r="P40" s="38">
        <f t="shared" si="6"/>
        <v>6</v>
      </c>
      <c r="Q40" s="3">
        <v>2</v>
      </c>
      <c r="R40" s="40">
        <f t="shared" si="9"/>
        <v>2</v>
      </c>
      <c r="S40" s="3">
        <v>2</v>
      </c>
      <c r="T40" s="3">
        <v>2</v>
      </c>
      <c r="U40" s="40">
        <f t="shared" si="10"/>
        <v>4</v>
      </c>
      <c r="V40" s="3">
        <v>2</v>
      </c>
      <c r="W40" s="40">
        <f t="shared" si="11"/>
        <v>2</v>
      </c>
      <c r="Z40" s="22">
        <f t="shared" si="7"/>
        <v>24</v>
      </c>
      <c r="AA40" s="22">
        <f t="shared" si="8"/>
        <v>92.307692307692307</v>
      </c>
    </row>
    <row r="41" spans="1:27" ht="18" x14ac:dyDescent="0.35">
      <c r="A41" s="2">
        <v>36</v>
      </c>
      <c r="B41" s="16" t="s">
        <v>106</v>
      </c>
      <c r="C41" s="20" t="s">
        <v>107</v>
      </c>
      <c r="D41" s="40">
        <v>2</v>
      </c>
      <c r="E41" s="40">
        <v>2</v>
      </c>
      <c r="F41" s="36">
        <f t="shared" si="3"/>
        <v>4</v>
      </c>
      <c r="G41" s="3">
        <v>2</v>
      </c>
      <c r="H41" s="3">
        <v>2</v>
      </c>
      <c r="I41" s="36">
        <f t="shared" si="4"/>
        <v>4</v>
      </c>
      <c r="J41" s="3">
        <v>2</v>
      </c>
      <c r="K41" s="3">
        <v>2</v>
      </c>
      <c r="L41" s="36">
        <f t="shared" si="5"/>
        <v>4</v>
      </c>
      <c r="M41" s="3">
        <v>2</v>
      </c>
      <c r="N41" s="3">
        <v>2</v>
      </c>
      <c r="O41" s="3">
        <v>2</v>
      </c>
      <c r="P41" s="38">
        <f t="shared" si="6"/>
        <v>6</v>
      </c>
      <c r="Q41" s="3">
        <v>2</v>
      </c>
      <c r="R41" s="40">
        <f t="shared" si="9"/>
        <v>2</v>
      </c>
      <c r="S41" s="3">
        <v>2</v>
      </c>
      <c r="T41" s="3">
        <v>2</v>
      </c>
      <c r="U41" s="40">
        <f t="shared" si="10"/>
        <v>4</v>
      </c>
      <c r="V41" s="3">
        <v>2</v>
      </c>
      <c r="W41" s="40">
        <f t="shared" si="11"/>
        <v>2</v>
      </c>
      <c r="Z41" s="22">
        <f t="shared" si="7"/>
        <v>26</v>
      </c>
      <c r="AA41" s="22">
        <f t="shared" si="8"/>
        <v>100</v>
      </c>
    </row>
    <row r="42" spans="1:27" ht="18" x14ac:dyDescent="0.35">
      <c r="A42" s="2">
        <v>37</v>
      </c>
      <c r="B42" s="16" t="s">
        <v>108</v>
      </c>
      <c r="C42" s="20" t="s">
        <v>109</v>
      </c>
      <c r="D42" s="40">
        <v>2</v>
      </c>
      <c r="E42" s="40">
        <v>2</v>
      </c>
      <c r="F42" s="36">
        <f t="shared" si="3"/>
        <v>4</v>
      </c>
      <c r="G42" s="3">
        <v>2</v>
      </c>
      <c r="H42" s="3">
        <v>2</v>
      </c>
      <c r="I42" s="36">
        <f t="shared" si="4"/>
        <v>4</v>
      </c>
      <c r="J42" s="3">
        <v>2</v>
      </c>
      <c r="K42" s="3">
        <v>2</v>
      </c>
      <c r="L42" s="36">
        <f t="shared" si="5"/>
        <v>4</v>
      </c>
      <c r="M42" s="3">
        <v>0</v>
      </c>
      <c r="N42" s="3">
        <v>0</v>
      </c>
      <c r="O42" s="3">
        <v>2</v>
      </c>
      <c r="P42" s="38">
        <f t="shared" si="6"/>
        <v>2</v>
      </c>
      <c r="Q42" s="3">
        <v>2</v>
      </c>
      <c r="R42" s="40">
        <f t="shared" si="9"/>
        <v>2</v>
      </c>
      <c r="S42" s="3">
        <v>2</v>
      </c>
      <c r="T42" s="3">
        <v>2</v>
      </c>
      <c r="U42" s="40">
        <f t="shared" si="10"/>
        <v>4</v>
      </c>
      <c r="V42" s="3">
        <v>2</v>
      </c>
      <c r="W42" s="40">
        <f t="shared" si="11"/>
        <v>2</v>
      </c>
      <c r="Z42" s="22">
        <f t="shared" si="7"/>
        <v>22</v>
      </c>
      <c r="AA42" s="22">
        <f t="shared" si="8"/>
        <v>84.615384615384613</v>
      </c>
    </row>
    <row r="43" spans="1:27" ht="18" x14ac:dyDescent="0.35">
      <c r="A43" s="2">
        <v>38</v>
      </c>
      <c r="B43" s="16" t="s">
        <v>110</v>
      </c>
      <c r="C43" s="20" t="s">
        <v>111</v>
      </c>
      <c r="D43" s="40">
        <v>2</v>
      </c>
      <c r="E43" s="40">
        <v>2</v>
      </c>
      <c r="F43" s="36">
        <f t="shared" si="3"/>
        <v>4</v>
      </c>
      <c r="G43" s="3">
        <v>2</v>
      </c>
      <c r="H43" s="3">
        <v>0</v>
      </c>
      <c r="I43" s="36">
        <f t="shared" si="4"/>
        <v>2</v>
      </c>
      <c r="J43" s="3">
        <v>2</v>
      </c>
      <c r="K43" s="3">
        <v>2</v>
      </c>
      <c r="L43" s="36">
        <f t="shared" si="5"/>
        <v>4</v>
      </c>
      <c r="M43" s="3">
        <v>0</v>
      </c>
      <c r="N43" s="3">
        <v>0</v>
      </c>
      <c r="O43" s="3">
        <v>2</v>
      </c>
      <c r="P43" s="38">
        <f t="shared" si="6"/>
        <v>2</v>
      </c>
      <c r="Q43" s="3">
        <v>2</v>
      </c>
      <c r="R43" s="40">
        <f t="shared" si="9"/>
        <v>2</v>
      </c>
      <c r="S43" s="3">
        <v>2</v>
      </c>
      <c r="T43" s="3">
        <v>2</v>
      </c>
      <c r="U43" s="40">
        <f t="shared" si="10"/>
        <v>4</v>
      </c>
      <c r="V43" s="3">
        <v>2</v>
      </c>
      <c r="W43" s="40">
        <f t="shared" si="11"/>
        <v>2</v>
      </c>
      <c r="Z43" s="22">
        <f t="shared" si="7"/>
        <v>20</v>
      </c>
      <c r="AA43" s="22">
        <f t="shared" si="8"/>
        <v>76.923076923076934</v>
      </c>
    </row>
    <row r="44" spans="1:27" ht="18" x14ac:dyDescent="0.35">
      <c r="A44" s="2">
        <v>39</v>
      </c>
      <c r="B44" s="16" t="s">
        <v>112</v>
      </c>
      <c r="C44" s="20" t="s">
        <v>113</v>
      </c>
      <c r="D44" s="40">
        <v>2</v>
      </c>
      <c r="E44" s="40">
        <v>2</v>
      </c>
      <c r="F44" s="36">
        <f t="shared" si="3"/>
        <v>4</v>
      </c>
      <c r="G44" s="3">
        <v>2</v>
      </c>
      <c r="H44" s="3">
        <v>2</v>
      </c>
      <c r="I44" s="36">
        <f t="shared" si="4"/>
        <v>4</v>
      </c>
      <c r="J44" s="3">
        <v>2</v>
      </c>
      <c r="K44" s="3">
        <v>2</v>
      </c>
      <c r="L44" s="36">
        <f t="shared" si="5"/>
        <v>4</v>
      </c>
      <c r="M44" s="3">
        <v>2</v>
      </c>
      <c r="N44" s="3">
        <v>2</v>
      </c>
      <c r="O44" s="3">
        <v>2</v>
      </c>
      <c r="P44" s="38">
        <f t="shared" si="6"/>
        <v>6</v>
      </c>
      <c r="Q44" s="3">
        <v>2</v>
      </c>
      <c r="R44" s="40">
        <f t="shared" si="9"/>
        <v>2</v>
      </c>
      <c r="S44" s="3">
        <v>2</v>
      </c>
      <c r="T44" s="3">
        <v>2</v>
      </c>
      <c r="U44" s="40">
        <f t="shared" si="10"/>
        <v>4</v>
      </c>
      <c r="V44" s="3">
        <v>2</v>
      </c>
      <c r="W44" s="40">
        <f t="shared" si="11"/>
        <v>2</v>
      </c>
      <c r="Z44" s="22">
        <f t="shared" si="7"/>
        <v>26</v>
      </c>
      <c r="AA44" s="22">
        <f t="shared" si="8"/>
        <v>100</v>
      </c>
    </row>
    <row r="45" spans="1:27" ht="18" x14ac:dyDescent="0.35">
      <c r="A45" s="2">
        <v>40</v>
      </c>
      <c r="B45" s="16" t="s">
        <v>114</v>
      </c>
      <c r="C45" s="20" t="s">
        <v>115</v>
      </c>
      <c r="D45" s="40">
        <v>2</v>
      </c>
      <c r="E45" s="40">
        <v>2</v>
      </c>
      <c r="F45" s="36">
        <f t="shared" si="3"/>
        <v>4</v>
      </c>
      <c r="G45" s="3">
        <v>2</v>
      </c>
      <c r="H45" s="3">
        <v>0</v>
      </c>
      <c r="I45" s="36">
        <f t="shared" si="4"/>
        <v>2</v>
      </c>
      <c r="J45" s="3">
        <v>2</v>
      </c>
      <c r="K45" s="3">
        <v>2</v>
      </c>
      <c r="L45" s="36">
        <f t="shared" si="5"/>
        <v>4</v>
      </c>
      <c r="M45" s="3">
        <v>2</v>
      </c>
      <c r="N45" s="3">
        <v>0</v>
      </c>
      <c r="O45" s="3">
        <v>0</v>
      </c>
      <c r="P45" s="38">
        <f t="shared" si="6"/>
        <v>2</v>
      </c>
      <c r="Q45" s="3">
        <v>2</v>
      </c>
      <c r="R45" s="40">
        <f t="shared" si="9"/>
        <v>2</v>
      </c>
      <c r="S45" s="3">
        <v>2</v>
      </c>
      <c r="T45" s="3">
        <v>2</v>
      </c>
      <c r="U45" s="40">
        <f t="shared" si="10"/>
        <v>4</v>
      </c>
      <c r="V45" s="3">
        <v>2</v>
      </c>
      <c r="W45" s="40">
        <f t="shared" si="11"/>
        <v>2</v>
      </c>
      <c r="Z45" s="22">
        <f t="shared" si="7"/>
        <v>20</v>
      </c>
      <c r="AA45" s="22">
        <f t="shared" si="8"/>
        <v>76.923076923076934</v>
      </c>
    </row>
    <row r="46" spans="1:27" ht="18" x14ac:dyDescent="0.35">
      <c r="A46" s="2">
        <v>41</v>
      </c>
      <c r="B46" s="16" t="s">
        <v>116</v>
      </c>
      <c r="C46" s="20" t="s">
        <v>117</v>
      </c>
      <c r="D46" s="40">
        <v>2</v>
      </c>
      <c r="E46" s="40">
        <v>2</v>
      </c>
      <c r="F46" s="36">
        <f t="shared" si="3"/>
        <v>4</v>
      </c>
      <c r="G46" s="3">
        <v>2</v>
      </c>
      <c r="H46" s="3">
        <v>2</v>
      </c>
      <c r="I46" s="36">
        <f t="shared" si="4"/>
        <v>4</v>
      </c>
      <c r="J46" s="3">
        <v>2</v>
      </c>
      <c r="K46" s="3">
        <v>2</v>
      </c>
      <c r="L46" s="36">
        <f t="shared" si="5"/>
        <v>4</v>
      </c>
      <c r="M46" s="3">
        <v>0</v>
      </c>
      <c r="N46" s="3">
        <v>0</v>
      </c>
      <c r="O46" s="3">
        <v>2</v>
      </c>
      <c r="P46" s="38">
        <f t="shared" si="6"/>
        <v>2</v>
      </c>
      <c r="Q46" s="3">
        <v>2</v>
      </c>
      <c r="R46" s="40">
        <f t="shared" si="9"/>
        <v>2</v>
      </c>
      <c r="S46" s="3">
        <v>2</v>
      </c>
      <c r="T46" s="3">
        <v>2</v>
      </c>
      <c r="U46" s="40">
        <f t="shared" si="10"/>
        <v>4</v>
      </c>
      <c r="V46" s="3">
        <v>2</v>
      </c>
      <c r="W46" s="40">
        <f t="shared" si="11"/>
        <v>2</v>
      </c>
      <c r="Z46" s="22">
        <f t="shared" si="7"/>
        <v>22</v>
      </c>
      <c r="AA46" s="22">
        <f t="shared" si="8"/>
        <v>84.615384615384613</v>
      </c>
    </row>
    <row r="47" spans="1:27" ht="18" x14ac:dyDescent="0.35">
      <c r="A47" s="2">
        <v>42</v>
      </c>
      <c r="B47" s="16" t="s">
        <v>118</v>
      </c>
      <c r="C47" s="20" t="s">
        <v>119</v>
      </c>
      <c r="D47" s="40">
        <v>2</v>
      </c>
      <c r="E47" s="40">
        <v>2</v>
      </c>
      <c r="F47" s="36">
        <f t="shared" si="3"/>
        <v>4</v>
      </c>
      <c r="G47" s="3">
        <v>2</v>
      </c>
      <c r="H47" s="3">
        <v>0</v>
      </c>
      <c r="I47" s="36">
        <f t="shared" si="4"/>
        <v>2</v>
      </c>
      <c r="J47" s="3">
        <v>2</v>
      </c>
      <c r="K47" s="3">
        <v>2</v>
      </c>
      <c r="L47" s="36">
        <f t="shared" si="5"/>
        <v>4</v>
      </c>
      <c r="M47" s="3">
        <v>2</v>
      </c>
      <c r="N47" s="3">
        <v>2</v>
      </c>
      <c r="O47" s="3">
        <v>2</v>
      </c>
      <c r="P47" s="38">
        <f t="shared" si="6"/>
        <v>6</v>
      </c>
      <c r="Q47" s="3">
        <v>2</v>
      </c>
      <c r="R47" s="40">
        <f t="shared" si="9"/>
        <v>2</v>
      </c>
      <c r="S47" s="3">
        <v>2</v>
      </c>
      <c r="T47" s="3">
        <v>2</v>
      </c>
      <c r="U47" s="40">
        <f t="shared" si="10"/>
        <v>4</v>
      </c>
      <c r="V47" s="3">
        <v>2</v>
      </c>
      <c r="W47" s="40">
        <f t="shared" si="11"/>
        <v>2</v>
      </c>
      <c r="Z47" s="22">
        <f t="shared" si="7"/>
        <v>24</v>
      </c>
      <c r="AA47" s="22">
        <f t="shared" si="8"/>
        <v>92.307692307692307</v>
      </c>
    </row>
    <row r="48" spans="1:27" ht="18" x14ac:dyDescent="0.35">
      <c r="A48" s="2">
        <v>43</v>
      </c>
      <c r="B48" s="16" t="s">
        <v>120</v>
      </c>
      <c r="C48" s="20" t="s">
        <v>121</v>
      </c>
      <c r="D48" s="40">
        <v>2</v>
      </c>
      <c r="E48" s="40">
        <v>2</v>
      </c>
      <c r="F48" s="36">
        <f t="shared" si="3"/>
        <v>4</v>
      </c>
      <c r="G48" s="3">
        <v>2</v>
      </c>
      <c r="H48" s="3">
        <v>2</v>
      </c>
      <c r="I48" s="36">
        <f t="shared" si="4"/>
        <v>4</v>
      </c>
      <c r="J48" s="3">
        <v>2</v>
      </c>
      <c r="K48" s="3">
        <v>2</v>
      </c>
      <c r="L48" s="36">
        <f t="shared" si="5"/>
        <v>4</v>
      </c>
      <c r="M48" s="3">
        <v>2</v>
      </c>
      <c r="N48" s="3">
        <v>2</v>
      </c>
      <c r="O48" s="3">
        <v>2</v>
      </c>
      <c r="P48" s="38">
        <f t="shared" si="6"/>
        <v>6</v>
      </c>
      <c r="Q48" s="3">
        <v>2</v>
      </c>
      <c r="R48" s="40">
        <f t="shared" si="9"/>
        <v>2</v>
      </c>
      <c r="S48" s="3">
        <v>2</v>
      </c>
      <c r="T48" s="3">
        <v>2</v>
      </c>
      <c r="U48" s="40">
        <f t="shared" si="10"/>
        <v>4</v>
      </c>
      <c r="V48" s="3">
        <v>2</v>
      </c>
      <c r="W48" s="40">
        <f t="shared" si="11"/>
        <v>2</v>
      </c>
      <c r="Z48" s="22">
        <f t="shared" si="7"/>
        <v>26</v>
      </c>
      <c r="AA48" s="22">
        <f t="shared" si="8"/>
        <v>100</v>
      </c>
    </row>
    <row r="49" spans="1:27" ht="18" x14ac:dyDescent="0.35">
      <c r="A49" s="2">
        <v>44</v>
      </c>
      <c r="B49" s="16" t="s">
        <v>122</v>
      </c>
      <c r="C49" s="20" t="s">
        <v>123</v>
      </c>
      <c r="D49" s="40">
        <v>2</v>
      </c>
      <c r="E49" s="40">
        <v>2</v>
      </c>
      <c r="F49" s="36">
        <f t="shared" si="3"/>
        <v>4</v>
      </c>
      <c r="G49" s="3">
        <v>2</v>
      </c>
      <c r="H49" s="3">
        <v>2</v>
      </c>
      <c r="I49" s="36">
        <f t="shared" si="4"/>
        <v>4</v>
      </c>
      <c r="J49" s="3">
        <v>2</v>
      </c>
      <c r="K49" s="3">
        <v>2</v>
      </c>
      <c r="L49" s="36">
        <f t="shared" si="5"/>
        <v>4</v>
      </c>
      <c r="M49" s="3">
        <v>2</v>
      </c>
      <c r="N49" s="3">
        <v>0</v>
      </c>
      <c r="O49" s="3">
        <v>0</v>
      </c>
      <c r="P49" s="38">
        <f t="shared" si="6"/>
        <v>2</v>
      </c>
      <c r="Q49" s="3">
        <v>2</v>
      </c>
      <c r="R49" s="40">
        <f t="shared" si="9"/>
        <v>2</v>
      </c>
      <c r="S49" s="3">
        <v>2</v>
      </c>
      <c r="T49" s="3">
        <v>2</v>
      </c>
      <c r="U49" s="40">
        <f t="shared" si="10"/>
        <v>4</v>
      </c>
      <c r="V49" s="3">
        <v>2</v>
      </c>
      <c r="W49" s="40">
        <f t="shared" si="11"/>
        <v>2</v>
      </c>
      <c r="Z49" s="22">
        <f t="shared" si="7"/>
        <v>22</v>
      </c>
      <c r="AA49" s="22">
        <f t="shared" si="8"/>
        <v>84.615384615384613</v>
      </c>
    </row>
    <row r="50" spans="1:27" ht="18" x14ac:dyDescent="0.35">
      <c r="A50" s="2">
        <v>45</v>
      </c>
      <c r="B50" s="16" t="s">
        <v>124</v>
      </c>
      <c r="C50" s="20" t="s">
        <v>125</v>
      </c>
      <c r="D50" s="40">
        <v>2</v>
      </c>
      <c r="E50" s="40">
        <v>2</v>
      </c>
      <c r="F50" s="36">
        <f t="shared" si="3"/>
        <v>4</v>
      </c>
      <c r="G50" s="3">
        <v>2</v>
      </c>
      <c r="H50" s="3">
        <v>0</v>
      </c>
      <c r="I50" s="36">
        <f t="shared" si="4"/>
        <v>2</v>
      </c>
      <c r="J50" s="3">
        <v>2</v>
      </c>
      <c r="K50" s="3">
        <v>2</v>
      </c>
      <c r="L50" s="36">
        <f t="shared" si="5"/>
        <v>4</v>
      </c>
      <c r="M50" s="3">
        <v>0</v>
      </c>
      <c r="N50" s="3">
        <v>0</v>
      </c>
      <c r="O50" s="3">
        <v>2</v>
      </c>
      <c r="P50" s="38">
        <f t="shared" si="6"/>
        <v>2</v>
      </c>
      <c r="Q50" s="3">
        <v>2</v>
      </c>
      <c r="R50" s="40">
        <f t="shared" si="9"/>
        <v>2</v>
      </c>
      <c r="S50" s="3">
        <v>2</v>
      </c>
      <c r="T50" s="3">
        <v>2</v>
      </c>
      <c r="U50" s="40">
        <f t="shared" si="10"/>
        <v>4</v>
      </c>
      <c r="V50" s="3">
        <v>2</v>
      </c>
      <c r="W50" s="40">
        <f t="shared" si="11"/>
        <v>2</v>
      </c>
      <c r="Z50" s="22">
        <f t="shared" si="7"/>
        <v>20</v>
      </c>
      <c r="AA50" s="22">
        <f t="shared" si="8"/>
        <v>76.923076923076934</v>
      </c>
    </row>
    <row r="51" spans="1:27" ht="18" x14ac:dyDescent="0.35">
      <c r="A51" s="2">
        <v>46</v>
      </c>
      <c r="B51" s="16" t="s">
        <v>126</v>
      </c>
      <c r="C51" s="20" t="s">
        <v>127</v>
      </c>
      <c r="D51" s="40">
        <v>2</v>
      </c>
      <c r="E51" s="40">
        <v>2</v>
      </c>
      <c r="F51" s="36">
        <f t="shared" si="3"/>
        <v>4</v>
      </c>
      <c r="G51" s="3">
        <v>2</v>
      </c>
      <c r="H51" s="3">
        <v>2</v>
      </c>
      <c r="I51" s="36">
        <f t="shared" si="4"/>
        <v>4</v>
      </c>
      <c r="J51" s="3">
        <v>2</v>
      </c>
      <c r="K51" s="3">
        <v>2</v>
      </c>
      <c r="L51" s="36">
        <f t="shared" si="5"/>
        <v>4</v>
      </c>
      <c r="M51" s="3">
        <v>2</v>
      </c>
      <c r="N51" s="3">
        <v>0</v>
      </c>
      <c r="O51" s="3">
        <v>2</v>
      </c>
      <c r="P51" s="38">
        <f t="shared" si="6"/>
        <v>4</v>
      </c>
      <c r="Q51" s="3">
        <v>2</v>
      </c>
      <c r="R51" s="40">
        <f t="shared" si="9"/>
        <v>2</v>
      </c>
      <c r="S51" s="3">
        <v>2</v>
      </c>
      <c r="T51" s="3">
        <v>2</v>
      </c>
      <c r="U51" s="40">
        <f t="shared" si="10"/>
        <v>4</v>
      </c>
      <c r="V51" s="3">
        <v>2</v>
      </c>
      <c r="W51" s="40">
        <f t="shared" si="11"/>
        <v>2</v>
      </c>
      <c r="Z51" s="22">
        <f t="shared" si="7"/>
        <v>24</v>
      </c>
      <c r="AA51" s="22">
        <f t="shared" si="8"/>
        <v>92.307692307692307</v>
      </c>
    </row>
    <row r="52" spans="1:27" ht="18" x14ac:dyDescent="0.35">
      <c r="A52" s="2">
        <v>47</v>
      </c>
      <c r="B52" s="16" t="s">
        <v>128</v>
      </c>
      <c r="C52" s="20" t="s">
        <v>129</v>
      </c>
      <c r="D52" s="40">
        <v>2</v>
      </c>
      <c r="E52" s="40">
        <v>2</v>
      </c>
      <c r="F52" s="36">
        <f t="shared" si="3"/>
        <v>4</v>
      </c>
      <c r="G52" s="3">
        <v>0</v>
      </c>
      <c r="H52" s="3">
        <v>2</v>
      </c>
      <c r="I52" s="36">
        <f t="shared" si="4"/>
        <v>2</v>
      </c>
      <c r="J52" s="3">
        <v>2</v>
      </c>
      <c r="K52" s="3">
        <v>2</v>
      </c>
      <c r="L52" s="36">
        <f t="shared" si="5"/>
        <v>4</v>
      </c>
      <c r="M52" s="3">
        <v>0</v>
      </c>
      <c r="N52" s="3">
        <v>0</v>
      </c>
      <c r="O52" s="3">
        <v>2</v>
      </c>
      <c r="P52" s="38">
        <f t="shared" si="6"/>
        <v>2</v>
      </c>
      <c r="Q52" s="3">
        <v>2</v>
      </c>
      <c r="R52" s="40">
        <f t="shared" si="9"/>
        <v>2</v>
      </c>
      <c r="S52" s="3">
        <v>2</v>
      </c>
      <c r="T52" s="3">
        <v>2</v>
      </c>
      <c r="U52" s="40">
        <f t="shared" si="10"/>
        <v>4</v>
      </c>
      <c r="V52" s="3">
        <v>2</v>
      </c>
      <c r="W52" s="40">
        <f t="shared" si="11"/>
        <v>2</v>
      </c>
      <c r="Z52" s="22">
        <f t="shared" si="7"/>
        <v>20</v>
      </c>
      <c r="AA52" s="22">
        <f t="shared" si="8"/>
        <v>76.923076923076934</v>
      </c>
    </row>
    <row r="53" spans="1:27" ht="18" x14ac:dyDescent="0.35">
      <c r="A53" s="2">
        <v>48</v>
      </c>
      <c r="B53" s="16" t="s">
        <v>130</v>
      </c>
      <c r="C53" s="20" t="s">
        <v>131</v>
      </c>
      <c r="D53" s="40">
        <v>2</v>
      </c>
      <c r="E53" s="40">
        <v>2</v>
      </c>
      <c r="F53" s="36">
        <f t="shared" si="3"/>
        <v>4</v>
      </c>
      <c r="G53" s="3">
        <v>0</v>
      </c>
      <c r="H53" s="3">
        <v>2</v>
      </c>
      <c r="I53" s="36">
        <f t="shared" si="4"/>
        <v>2</v>
      </c>
      <c r="J53" s="3">
        <v>2</v>
      </c>
      <c r="K53" s="3">
        <v>2</v>
      </c>
      <c r="L53" s="36">
        <f t="shared" si="5"/>
        <v>4</v>
      </c>
      <c r="M53" s="3">
        <v>2</v>
      </c>
      <c r="N53" s="3">
        <v>2</v>
      </c>
      <c r="O53" s="3">
        <v>2</v>
      </c>
      <c r="P53" s="38">
        <f t="shared" si="6"/>
        <v>6</v>
      </c>
      <c r="Q53" s="3">
        <v>2</v>
      </c>
      <c r="R53" s="40">
        <f t="shared" si="9"/>
        <v>2</v>
      </c>
      <c r="S53" s="3">
        <v>2</v>
      </c>
      <c r="T53" s="3">
        <v>2</v>
      </c>
      <c r="U53" s="40">
        <f t="shared" si="10"/>
        <v>4</v>
      </c>
      <c r="V53" s="3">
        <v>2</v>
      </c>
      <c r="W53" s="40">
        <f t="shared" si="11"/>
        <v>2</v>
      </c>
      <c r="Z53" s="22">
        <f t="shared" si="7"/>
        <v>24</v>
      </c>
      <c r="AA53" s="22">
        <f t="shared" si="8"/>
        <v>92.307692307692307</v>
      </c>
    </row>
    <row r="54" spans="1:27" ht="18" x14ac:dyDescent="0.35">
      <c r="A54" s="2">
        <v>49</v>
      </c>
      <c r="B54" s="16" t="s">
        <v>132</v>
      </c>
      <c r="C54" s="20" t="s">
        <v>133</v>
      </c>
      <c r="D54" s="40">
        <v>2</v>
      </c>
      <c r="E54" s="40">
        <v>2</v>
      </c>
      <c r="F54" s="36">
        <f t="shared" si="3"/>
        <v>4</v>
      </c>
      <c r="G54" s="3">
        <v>2</v>
      </c>
      <c r="H54" s="3">
        <v>2</v>
      </c>
      <c r="I54" s="36">
        <f t="shared" si="4"/>
        <v>4</v>
      </c>
      <c r="J54" s="3">
        <v>2</v>
      </c>
      <c r="K54" s="3">
        <v>2</v>
      </c>
      <c r="L54" s="36">
        <f t="shared" si="5"/>
        <v>4</v>
      </c>
      <c r="M54" s="3">
        <v>0</v>
      </c>
      <c r="N54" s="3">
        <v>0</v>
      </c>
      <c r="O54" s="3">
        <v>2</v>
      </c>
      <c r="P54" s="38">
        <f t="shared" si="6"/>
        <v>2</v>
      </c>
      <c r="Q54" s="3">
        <v>2</v>
      </c>
      <c r="R54" s="40">
        <f t="shared" si="9"/>
        <v>2</v>
      </c>
      <c r="S54" s="3">
        <v>2</v>
      </c>
      <c r="T54" s="3">
        <v>2</v>
      </c>
      <c r="U54" s="40">
        <f t="shared" si="10"/>
        <v>4</v>
      </c>
      <c r="V54" s="3">
        <v>2</v>
      </c>
      <c r="W54" s="40">
        <f t="shared" si="11"/>
        <v>2</v>
      </c>
      <c r="Z54" s="22">
        <f t="shared" si="7"/>
        <v>22</v>
      </c>
      <c r="AA54" s="22">
        <f t="shared" si="8"/>
        <v>84.615384615384613</v>
      </c>
    </row>
    <row r="55" spans="1:27" ht="18" x14ac:dyDescent="0.35">
      <c r="A55" s="2">
        <v>50</v>
      </c>
      <c r="B55" s="16" t="s">
        <v>134</v>
      </c>
      <c r="C55" s="20" t="s">
        <v>135</v>
      </c>
      <c r="D55" s="40">
        <v>2</v>
      </c>
      <c r="E55" s="40">
        <v>2</v>
      </c>
      <c r="F55" s="36">
        <f t="shared" si="3"/>
        <v>4</v>
      </c>
      <c r="G55" s="3">
        <v>0</v>
      </c>
      <c r="H55" s="3">
        <v>2</v>
      </c>
      <c r="I55" s="36">
        <f t="shared" si="4"/>
        <v>2</v>
      </c>
      <c r="J55" s="3">
        <v>2</v>
      </c>
      <c r="K55" s="3">
        <v>2</v>
      </c>
      <c r="L55" s="36">
        <f t="shared" si="5"/>
        <v>4</v>
      </c>
      <c r="M55" s="3">
        <v>2</v>
      </c>
      <c r="N55" s="3">
        <v>0</v>
      </c>
      <c r="O55" s="3">
        <v>0</v>
      </c>
      <c r="P55" s="38">
        <f t="shared" si="6"/>
        <v>2</v>
      </c>
      <c r="Q55" s="3">
        <v>2</v>
      </c>
      <c r="R55" s="40">
        <f t="shared" si="9"/>
        <v>2</v>
      </c>
      <c r="S55" s="3">
        <v>2</v>
      </c>
      <c r="T55" s="3">
        <v>2</v>
      </c>
      <c r="U55" s="40">
        <f t="shared" si="10"/>
        <v>4</v>
      </c>
      <c r="V55" s="3">
        <v>2</v>
      </c>
      <c r="W55" s="40">
        <f t="shared" si="11"/>
        <v>2</v>
      </c>
      <c r="Z55" s="22">
        <f t="shared" si="7"/>
        <v>20</v>
      </c>
      <c r="AA55" s="22">
        <f t="shared" si="8"/>
        <v>76.923076923076934</v>
      </c>
    </row>
    <row r="56" spans="1:27" ht="18" x14ac:dyDescent="0.35">
      <c r="A56" s="2">
        <v>51</v>
      </c>
      <c r="B56" s="16" t="s">
        <v>136</v>
      </c>
      <c r="C56" s="20" t="s">
        <v>137</v>
      </c>
      <c r="D56" s="40">
        <v>2</v>
      </c>
      <c r="E56" s="40">
        <v>2</v>
      </c>
      <c r="F56" s="36">
        <f t="shared" si="3"/>
        <v>4</v>
      </c>
      <c r="G56" s="3">
        <v>0</v>
      </c>
      <c r="H56" s="3">
        <v>2</v>
      </c>
      <c r="I56" s="36">
        <f t="shared" si="4"/>
        <v>2</v>
      </c>
      <c r="J56" s="3">
        <v>2</v>
      </c>
      <c r="K56" s="3">
        <v>2</v>
      </c>
      <c r="L56" s="36">
        <f t="shared" si="5"/>
        <v>4</v>
      </c>
      <c r="M56" s="3">
        <v>2</v>
      </c>
      <c r="N56" s="3">
        <v>2</v>
      </c>
      <c r="O56" s="3">
        <v>2</v>
      </c>
      <c r="P56" s="38">
        <f t="shared" si="6"/>
        <v>6</v>
      </c>
      <c r="Q56" s="3">
        <v>2</v>
      </c>
      <c r="R56" s="40">
        <f t="shared" si="9"/>
        <v>2</v>
      </c>
      <c r="S56" s="3">
        <v>0</v>
      </c>
      <c r="T56" s="3">
        <v>0</v>
      </c>
      <c r="U56" s="40">
        <f t="shared" si="10"/>
        <v>0</v>
      </c>
      <c r="V56" s="3">
        <v>2</v>
      </c>
      <c r="W56" s="40">
        <f t="shared" si="11"/>
        <v>2</v>
      </c>
      <c r="Z56" s="22">
        <f t="shared" si="7"/>
        <v>20</v>
      </c>
      <c r="AA56" s="22">
        <f t="shared" si="8"/>
        <v>76.923076923076934</v>
      </c>
    </row>
    <row r="57" spans="1:27" ht="18" x14ac:dyDescent="0.35">
      <c r="A57" s="2">
        <v>52</v>
      </c>
      <c r="B57" s="16" t="s">
        <v>138</v>
      </c>
      <c r="C57" s="20" t="s">
        <v>139</v>
      </c>
      <c r="D57" s="40">
        <v>2</v>
      </c>
      <c r="E57" s="40">
        <v>2</v>
      </c>
      <c r="F57" s="36">
        <f t="shared" si="3"/>
        <v>4</v>
      </c>
      <c r="G57" s="3">
        <v>2</v>
      </c>
      <c r="H57" s="3">
        <v>2</v>
      </c>
      <c r="I57" s="36">
        <f t="shared" si="4"/>
        <v>4</v>
      </c>
      <c r="J57" s="3">
        <v>2</v>
      </c>
      <c r="K57" s="3">
        <v>2</v>
      </c>
      <c r="L57" s="36">
        <f t="shared" si="5"/>
        <v>4</v>
      </c>
      <c r="M57" s="3">
        <v>2</v>
      </c>
      <c r="N57" s="3">
        <v>0</v>
      </c>
      <c r="O57" s="3">
        <v>0</v>
      </c>
      <c r="P57" s="38">
        <f t="shared" si="6"/>
        <v>2</v>
      </c>
      <c r="Q57" s="3">
        <v>2</v>
      </c>
      <c r="R57" s="40">
        <f t="shared" si="9"/>
        <v>2</v>
      </c>
      <c r="S57" s="3">
        <v>2</v>
      </c>
      <c r="T57" s="3">
        <v>2</v>
      </c>
      <c r="U57" s="40">
        <f t="shared" si="10"/>
        <v>4</v>
      </c>
      <c r="V57" s="3">
        <v>2</v>
      </c>
      <c r="W57" s="40">
        <f t="shared" si="11"/>
        <v>2</v>
      </c>
      <c r="Z57" s="22">
        <f t="shared" si="7"/>
        <v>22</v>
      </c>
      <c r="AA57" s="22">
        <f t="shared" si="8"/>
        <v>84.615384615384613</v>
      </c>
    </row>
    <row r="58" spans="1:27" ht="18" x14ac:dyDescent="0.35">
      <c r="A58" s="2">
        <v>53</v>
      </c>
      <c r="B58" s="16" t="s">
        <v>140</v>
      </c>
      <c r="C58" s="20" t="s">
        <v>141</v>
      </c>
      <c r="D58" s="40">
        <v>2</v>
      </c>
      <c r="E58" s="40">
        <v>2</v>
      </c>
      <c r="F58" s="36">
        <f t="shared" si="3"/>
        <v>4</v>
      </c>
      <c r="G58" s="3">
        <v>0</v>
      </c>
      <c r="H58" s="3">
        <v>2</v>
      </c>
      <c r="I58" s="36">
        <f t="shared" si="4"/>
        <v>2</v>
      </c>
      <c r="J58" s="3">
        <v>2</v>
      </c>
      <c r="K58" s="3">
        <v>2</v>
      </c>
      <c r="L58" s="36">
        <f t="shared" si="5"/>
        <v>4</v>
      </c>
      <c r="M58" s="3">
        <v>0</v>
      </c>
      <c r="N58" s="3">
        <v>0</v>
      </c>
      <c r="O58" s="3">
        <v>2</v>
      </c>
      <c r="P58" s="38">
        <f t="shared" si="6"/>
        <v>2</v>
      </c>
      <c r="Q58" s="3">
        <v>2</v>
      </c>
      <c r="R58" s="40">
        <f t="shared" si="9"/>
        <v>2</v>
      </c>
      <c r="S58" s="3">
        <v>2</v>
      </c>
      <c r="T58" s="3">
        <v>2</v>
      </c>
      <c r="U58" s="40">
        <f t="shared" si="10"/>
        <v>4</v>
      </c>
      <c r="V58" s="3">
        <v>2</v>
      </c>
      <c r="W58" s="40">
        <f t="shared" si="11"/>
        <v>2</v>
      </c>
      <c r="Z58" s="22">
        <f t="shared" si="7"/>
        <v>20</v>
      </c>
      <c r="AA58" s="22">
        <f t="shared" si="8"/>
        <v>76.923076923076934</v>
      </c>
    </row>
    <row r="59" spans="1:27" ht="18" x14ac:dyDescent="0.35">
      <c r="A59" s="2">
        <v>54</v>
      </c>
      <c r="B59" s="16" t="s">
        <v>142</v>
      </c>
      <c r="C59" s="20" t="s">
        <v>143</v>
      </c>
      <c r="D59" s="40">
        <v>2</v>
      </c>
      <c r="E59" s="40">
        <v>2</v>
      </c>
      <c r="F59" s="36">
        <f t="shared" si="3"/>
        <v>4</v>
      </c>
      <c r="G59" s="3">
        <v>2</v>
      </c>
      <c r="H59" s="3">
        <v>2</v>
      </c>
      <c r="I59" s="36">
        <f t="shared" si="4"/>
        <v>4</v>
      </c>
      <c r="J59" s="3">
        <v>2</v>
      </c>
      <c r="K59" s="3">
        <v>2</v>
      </c>
      <c r="L59" s="36">
        <f t="shared" si="5"/>
        <v>4</v>
      </c>
      <c r="M59" s="3">
        <v>0</v>
      </c>
      <c r="N59" s="3">
        <v>0</v>
      </c>
      <c r="O59" s="3">
        <v>2</v>
      </c>
      <c r="P59" s="38">
        <f t="shared" si="6"/>
        <v>2</v>
      </c>
      <c r="Q59" s="3">
        <v>2</v>
      </c>
      <c r="R59" s="40">
        <f t="shared" si="9"/>
        <v>2</v>
      </c>
      <c r="S59" s="3">
        <v>2</v>
      </c>
      <c r="T59" s="3">
        <v>2</v>
      </c>
      <c r="U59" s="40">
        <f t="shared" si="10"/>
        <v>4</v>
      </c>
      <c r="V59" s="3">
        <v>2</v>
      </c>
      <c r="W59" s="40">
        <f t="shared" si="11"/>
        <v>2</v>
      </c>
      <c r="Z59" s="22">
        <f t="shared" si="7"/>
        <v>22</v>
      </c>
      <c r="AA59" s="22">
        <f t="shared" si="8"/>
        <v>84.615384615384613</v>
      </c>
    </row>
    <row r="60" spans="1:27" ht="18" x14ac:dyDescent="0.35">
      <c r="A60" s="2">
        <v>55</v>
      </c>
      <c r="B60" s="16" t="s">
        <v>144</v>
      </c>
      <c r="C60" s="20" t="s">
        <v>145</v>
      </c>
      <c r="D60" s="40">
        <v>2</v>
      </c>
      <c r="E60" s="40">
        <v>2</v>
      </c>
      <c r="F60" s="36">
        <f t="shared" si="3"/>
        <v>4</v>
      </c>
      <c r="G60" s="3">
        <v>2</v>
      </c>
      <c r="H60" s="3">
        <v>2</v>
      </c>
      <c r="I60" s="36">
        <f t="shared" si="4"/>
        <v>4</v>
      </c>
      <c r="J60" s="3">
        <v>2</v>
      </c>
      <c r="K60" s="3">
        <v>2</v>
      </c>
      <c r="L60" s="36">
        <f t="shared" si="5"/>
        <v>4</v>
      </c>
      <c r="M60" s="3">
        <v>2</v>
      </c>
      <c r="N60" s="3">
        <v>0</v>
      </c>
      <c r="O60" s="3">
        <v>2</v>
      </c>
      <c r="P60" s="38">
        <f t="shared" si="6"/>
        <v>4</v>
      </c>
      <c r="Q60" s="3">
        <v>2</v>
      </c>
      <c r="R60" s="40">
        <f t="shared" si="9"/>
        <v>2</v>
      </c>
      <c r="S60" s="3">
        <v>2</v>
      </c>
      <c r="T60" s="3">
        <v>2</v>
      </c>
      <c r="U60" s="40">
        <f t="shared" si="10"/>
        <v>4</v>
      </c>
      <c r="V60" s="3">
        <v>2</v>
      </c>
      <c r="W60" s="40">
        <f t="shared" si="11"/>
        <v>2</v>
      </c>
      <c r="Z60" s="22">
        <f t="shared" si="7"/>
        <v>24</v>
      </c>
      <c r="AA60" s="22">
        <f t="shared" si="8"/>
        <v>92.307692307692307</v>
      </c>
    </row>
    <row r="61" spans="1:27" ht="18" x14ac:dyDescent="0.35">
      <c r="A61" s="2">
        <v>56</v>
      </c>
      <c r="B61" s="16" t="s">
        <v>146</v>
      </c>
      <c r="C61" s="20" t="s">
        <v>147</v>
      </c>
      <c r="D61" s="40">
        <v>2</v>
      </c>
      <c r="E61" s="40">
        <v>2</v>
      </c>
      <c r="F61" s="36">
        <f t="shared" si="3"/>
        <v>4</v>
      </c>
      <c r="G61" s="3">
        <v>2</v>
      </c>
      <c r="H61" s="3">
        <v>2</v>
      </c>
      <c r="I61" s="36">
        <f t="shared" si="4"/>
        <v>4</v>
      </c>
      <c r="J61" s="3">
        <v>2</v>
      </c>
      <c r="K61" s="3">
        <v>2</v>
      </c>
      <c r="L61" s="36">
        <f t="shared" si="5"/>
        <v>4</v>
      </c>
      <c r="M61" s="3">
        <v>2</v>
      </c>
      <c r="N61" s="3">
        <v>0</v>
      </c>
      <c r="O61" s="3">
        <v>0</v>
      </c>
      <c r="P61" s="38">
        <f t="shared" si="6"/>
        <v>2</v>
      </c>
      <c r="Q61" s="3">
        <v>2</v>
      </c>
      <c r="R61" s="40">
        <f t="shared" si="9"/>
        <v>2</v>
      </c>
      <c r="S61" s="3">
        <v>2</v>
      </c>
      <c r="T61" s="3">
        <v>2</v>
      </c>
      <c r="U61" s="40">
        <f t="shared" si="10"/>
        <v>4</v>
      </c>
      <c r="V61" s="3">
        <v>2</v>
      </c>
      <c r="W61" s="40">
        <f t="shared" si="11"/>
        <v>2</v>
      </c>
      <c r="Z61" s="22">
        <f t="shared" si="7"/>
        <v>22</v>
      </c>
      <c r="AA61" s="22">
        <f t="shared" si="8"/>
        <v>84.615384615384613</v>
      </c>
    </row>
    <row r="62" spans="1:27" ht="18" x14ac:dyDescent="0.35">
      <c r="A62" s="2">
        <v>57</v>
      </c>
      <c r="B62" s="16" t="s">
        <v>148</v>
      </c>
      <c r="C62" s="20" t="s">
        <v>149</v>
      </c>
      <c r="D62" s="40">
        <v>2</v>
      </c>
      <c r="E62" s="40">
        <v>2</v>
      </c>
      <c r="F62" s="36">
        <f t="shared" si="3"/>
        <v>4</v>
      </c>
      <c r="G62" s="3">
        <v>2</v>
      </c>
      <c r="H62" s="3">
        <v>2</v>
      </c>
      <c r="I62" s="36">
        <f t="shared" si="4"/>
        <v>4</v>
      </c>
      <c r="J62" s="3">
        <v>2</v>
      </c>
      <c r="K62" s="3">
        <v>2</v>
      </c>
      <c r="L62" s="36">
        <f t="shared" si="5"/>
        <v>4</v>
      </c>
      <c r="M62" s="3">
        <v>2</v>
      </c>
      <c r="N62" s="3">
        <v>0</v>
      </c>
      <c r="O62" s="3">
        <v>2</v>
      </c>
      <c r="P62" s="38">
        <f t="shared" si="6"/>
        <v>4</v>
      </c>
      <c r="Q62" s="3">
        <v>2</v>
      </c>
      <c r="R62" s="40">
        <f t="shared" si="9"/>
        <v>2</v>
      </c>
      <c r="S62" s="3">
        <v>0</v>
      </c>
      <c r="T62" s="3">
        <v>0</v>
      </c>
      <c r="U62" s="40">
        <f t="shared" si="10"/>
        <v>0</v>
      </c>
      <c r="V62" s="3">
        <v>2</v>
      </c>
      <c r="W62" s="40">
        <f t="shared" si="11"/>
        <v>2</v>
      </c>
      <c r="Z62" s="22">
        <f t="shared" si="7"/>
        <v>20</v>
      </c>
      <c r="AA62" s="22">
        <f t="shared" si="8"/>
        <v>76.923076923076934</v>
      </c>
    </row>
    <row r="63" spans="1:27" ht="18" x14ac:dyDescent="0.35">
      <c r="A63" s="2">
        <v>58</v>
      </c>
      <c r="B63" s="16" t="s">
        <v>150</v>
      </c>
      <c r="C63" s="20" t="s">
        <v>151</v>
      </c>
      <c r="D63" s="40">
        <v>2</v>
      </c>
      <c r="E63" s="40">
        <v>2</v>
      </c>
      <c r="F63" s="36">
        <f t="shared" si="3"/>
        <v>4</v>
      </c>
      <c r="G63" s="3">
        <v>2</v>
      </c>
      <c r="H63" s="3">
        <v>2</v>
      </c>
      <c r="I63" s="36">
        <f t="shared" si="4"/>
        <v>4</v>
      </c>
      <c r="J63" s="3">
        <v>2</v>
      </c>
      <c r="K63" s="3">
        <v>2</v>
      </c>
      <c r="L63" s="36">
        <f t="shared" si="5"/>
        <v>4</v>
      </c>
      <c r="M63" s="3">
        <v>2</v>
      </c>
      <c r="N63" s="3">
        <v>0</v>
      </c>
      <c r="O63" s="3">
        <v>2</v>
      </c>
      <c r="P63" s="38">
        <f t="shared" si="6"/>
        <v>4</v>
      </c>
      <c r="Q63" s="3">
        <v>2</v>
      </c>
      <c r="R63" s="40">
        <f t="shared" si="9"/>
        <v>2</v>
      </c>
      <c r="S63" s="3">
        <v>2</v>
      </c>
      <c r="T63" s="3">
        <v>2</v>
      </c>
      <c r="U63" s="40">
        <f t="shared" si="10"/>
        <v>4</v>
      </c>
      <c r="V63" s="3">
        <v>2</v>
      </c>
      <c r="W63" s="40">
        <f t="shared" si="11"/>
        <v>2</v>
      </c>
      <c r="Z63" s="22">
        <f t="shared" si="7"/>
        <v>24</v>
      </c>
      <c r="AA63" s="22">
        <f t="shared" si="8"/>
        <v>92.307692307692307</v>
      </c>
    </row>
    <row r="64" spans="1:27" ht="18" x14ac:dyDescent="0.35">
      <c r="A64" s="2">
        <v>59</v>
      </c>
      <c r="B64" s="16" t="s">
        <v>152</v>
      </c>
      <c r="C64" s="20" t="s">
        <v>153</v>
      </c>
      <c r="D64" s="40">
        <v>2</v>
      </c>
      <c r="E64" s="40">
        <v>2</v>
      </c>
      <c r="F64" s="36">
        <f t="shared" si="3"/>
        <v>4</v>
      </c>
      <c r="G64" s="3">
        <v>2</v>
      </c>
      <c r="H64" s="3">
        <v>2</v>
      </c>
      <c r="I64" s="36">
        <f t="shared" si="4"/>
        <v>4</v>
      </c>
      <c r="J64" s="3">
        <v>2</v>
      </c>
      <c r="K64" s="3">
        <v>2</v>
      </c>
      <c r="L64" s="36">
        <f t="shared" si="5"/>
        <v>4</v>
      </c>
      <c r="M64" s="3">
        <v>2</v>
      </c>
      <c r="N64" s="3">
        <v>0</v>
      </c>
      <c r="O64" s="3">
        <v>2</v>
      </c>
      <c r="P64" s="38">
        <f t="shared" si="6"/>
        <v>4</v>
      </c>
      <c r="Q64" s="3">
        <v>2</v>
      </c>
      <c r="R64" s="40">
        <f t="shared" si="9"/>
        <v>2</v>
      </c>
      <c r="S64" s="3">
        <v>0</v>
      </c>
      <c r="T64" s="3">
        <v>0</v>
      </c>
      <c r="U64" s="40">
        <f t="shared" si="10"/>
        <v>0</v>
      </c>
      <c r="V64" s="3">
        <v>2</v>
      </c>
      <c r="W64" s="40">
        <f t="shared" si="11"/>
        <v>2</v>
      </c>
      <c r="Z64" s="22">
        <f t="shared" si="7"/>
        <v>20</v>
      </c>
      <c r="AA64" s="22">
        <f t="shared" si="8"/>
        <v>76.923076923076934</v>
      </c>
    </row>
    <row r="65" spans="1:27" ht="18" x14ac:dyDescent="0.35">
      <c r="A65" s="2">
        <v>60</v>
      </c>
      <c r="B65" s="16" t="s">
        <v>154</v>
      </c>
      <c r="C65" s="20" t="s">
        <v>155</v>
      </c>
      <c r="D65" s="40">
        <v>2</v>
      </c>
      <c r="E65" s="40">
        <v>2</v>
      </c>
      <c r="F65" s="36">
        <f t="shared" si="3"/>
        <v>4</v>
      </c>
      <c r="G65" s="3">
        <v>2</v>
      </c>
      <c r="H65" s="3">
        <v>2</v>
      </c>
      <c r="I65" s="36">
        <f t="shared" si="4"/>
        <v>4</v>
      </c>
      <c r="J65" s="3">
        <v>2</v>
      </c>
      <c r="K65" s="3">
        <v>2</v>
      </c>
      <c r="L65" s="36">
        <f t="shared" si="5"/>
        <v>4</v>
      </c>
      <c r="M65" s="3">
        <v>2</v>
      </c>
      <c r="N65" s="3">
        <v>0</v>
      </c>
      <c r="O65" s="3">
        <v>2</v>
      </c>
      <c r="P65" s="38">
        <f t="shared" si="6"/>
        <v>4</v>
      </c>
      <c r="Q65" s="3">
        <v>2</v>
      </c>
      <c r="R65" s="40">
        <f t="shared" si="9"/>
        <v>2</v>
      </c>
      <c r="S65" s="3">
        <v>2</v>
      </c>
      <c r="T65" s="3">
        <v>2</v>
      </c>
      <c r="U65" s="40">
        <f t="shared" si="10"/>
        <v>4</v>
      </c>
      <c r="V65" s="3">
        <v>2</v>
      </c>
      <c r="W65" s="40">
        <f t="shared" si="11"/>
        <v>2</v>
      </c>
      <c r="Z65" s="22">
        <f t="shared" si="7"/>
        <v>24</v>
      </c>
      <c r="AA65" s="22">
        <f t="shared" si="8"/>
        <v>92.307692307692307</v>
      </c>
    </row>
    <row r="66" spans="1:27" ht="18" x14ac:dyDescent="0.35">
      <c r="A66" s="2">
        <v>61</v>
      </c>
      <c r="B66" s="16" t="s">
        <v>156</v>
      </c>
      <c r="C66" s="20" t="s">
        <v>157</v>
      </c>
      <c r="D66" s="40">
        <v>2</v>
      </c>
      <c r="E66" s="40">
        <v>2</v>
      </c>
      <c r="F66" s="36">
        <f t="shared" si="3"/>
        <v>4</v>
      </c>
      <c r="G66" s="3">
        <v>2</v>
      </c>
      <c r="H66" s="3">
        <v>2</v>
      </c>
      <c r="I66" s="36">
        <f t="shared" si="4"/>
        <v>4</v>
      </c>
      <c r="J66" s="3">
        <v>2</v>
      </c>
      <c r="K66" s="3">
        <v>2</v>
      </c>
      <c r="L66" s="36">
        <f t="shared" si="5"/>
        <v>4</v>
      </c>
      <c r="M66" s="3">
        <v>2</v>
      </c>
      <c r="N66" s="3">
        <v>0</v>
      </c>
      <c r="O66" s="3">
        <v>2</v>
      </c>
      <c r="P66" s="38">
        <f t="shared" si="6"/>
        <v>4</v>
      </c>
      <c r="Q66" s="3">
        <v>2</v>
      </c>
      <c r="R66" s="40">
        <f t="shared" si="9"/>
        <v>2</v>
      </c>
      <c r="S66" s="3">
        <v>0</v>
      </c>
      <c r="T66" s="3">
        <v>0</v>
      </c>
      <c r="U66" s="40">
        <f t="shared" si="10"/>
        <v>0</v>
      </c>
      <c r="V66" s="3">
        <v>2</v>
      </c>
      <c r="W66" s="40">
        <f t="shared" si="11"/>
        <v>2</v>
      </c>
      <c r="Z66" s="22">
        <f t="shared" si="7"/>
        <v>20</v>
      </c>
      <c r="AA66" s="22">
        <f t="shared" si="8"/>
        <v>76.923076923076934</v>
      </c>
    </row>
    <row r="67" spans="1:27" ht="18" x14ac:dyDescent="0.35">
      <c r="A67" s="2">
        <v>62</v>
      </c>
      <c r="B67" s="16" t="s">
        <v>158</v>
      </c>
      <c r="C67" s="20" t="s">
        <v>159</v>
      </c>
      <c r="D67" s="40">
        <v>2</v>
      </c>
      <c r="E67" s="40">
        <v>2</v>
      </c>
      <c r="F67" s="36">
        <f t="shared" si="3"/>
        <v>4</v>
      </c>
      <c r="G67" s="3">
        <v>2</v>
      </c>
      <c r="H67" s="3">
        <v>2</v>
      </c>
      <c r="I67" s="36">
        <f t="shared" si="4"/>
        <v>4</v>
      </c>
      <c r="J67" s="3">
        <v>2</v>
      </c>
      <c r="K67" s="3">
        <v>2</v>
      </c>
      <c r="L67" s="36">
        <f t="shared" si="5"/>
        <v>4</v>
      </c>
      <c r="M67" s="3">
        <v>2</v>
      </c>
      <c r="N67" s="3">
        <v>0</v>
      </c>
      <c r="O67" s="3">
        <v>2</v>
      </c>
      <c r="P67" s="38">
        <f t="shared" si="6"/>
        <v>4</v>
      </c>
      <c r="Q67" s="3">
        <v>2</v>
      </c>
      <c r="R67" s="40">
        <f t="shared" si="9"/>
        <v>2</v>
      </c>
      <c r="S67" s="3">
        <v>2</v>
      </c>
      <c r="T67" s="3">
        <v>2</v>
      </c>
      <c r="U67" s="40">
        <f t="shared" si="10"/>
        <v>4</v>
      </c>
      <c r="V67" s="3">
        <v>2</v>
      </c>
      <c r="W67" s="40">
        <f t="shared" si="11"/>
        <v>2</v>
      </c>
      <c r="Z67" s="22">
        <f t="shared" si="7"/>
        <v>24</v>
      </c>
      <c r="AA67" s="22">
        <f t="shared" si="8"/>
        <v>92.307692307692307</v>
      </c>
    </row>
    <row r="68" spans="1:27" ht="18" x14ac:dyDescent="0.35">
      <c r="A68" s="2">
        <v>63</v>
      </c>
      <c r="B68" s="16" t="s">
        <v>160</v>
      </c>
      <c r="C68" s="20" t="s">
        <v>161</v>
      </c>
      <c r="D68" s="40">
        <v>2</v>
      </c>
      <c r="E68" s="40">
        <v>2</v>
      </c>
      <c r="F68" s="36">
        <f t="shared" si="3"/>
        <v>4</v>
      </c>
      <c r="G68" s="3">
        <v>2</v>
      </c>
      <c r="H68" s="3">
        <v>2</v>
      </c>
      <c r="I68" s="36">
        <f t="shared" si="4"/>
        <v>4</v>
      </c>
      <c r="J68" s="3">
        <v>2</v>
      </c>
      <c r="K68" s="3">
        <v>2</v>
      </c>
      <c r="L68" s="36">
        <f t="shared" si="5"/>
        <v>4</v>
      </c>
      <c r="M68" s="3">
        <v>0</v>
      </c>
      <c r="N68" s="3">
        <v>0</v>
      </c>
      <c r="O68" s="3">
        <v>2</v>
      </c>
      <c r="P68" s="38">
        <f t="shared" si="6"/>
        <v>2</v>
      </c>
      <c r="Q68" s="3">
        <v>2</v>
      </c>
      <c r="R68" s="40">
        <f t="shared" si="9"/>
        <v>2</v>
      </c>
      <c r="S68" s="3">
        <v>2</v>
      </c>
      <c r="T68" s="3">
        <v>2</v>
      </c>
      <c r="U68" s="40">
        <f t="shared" si="10"/>
        <v>4</v>
      </c>
      <c r="V68" s="3">
        <v>2</v>
      </c>
      <c r="W68" s="40">
        <f t="shared" si="11"/>
        <v>2</v>
      </c>
      <c r="Z68" s="22">
        <f t="shared" si="7"/>
        <v>22</v>
      </c>
      <c r="AA68" s="22">
        <f t="shared" si="8"/>
        <v>84.615384615384613</v>
      </c>
    </row>
    <row r="69" spans="1:27" ht="18" x14ac:dyDescent="0.35">
      <c r="A69" s="2">
        <v>64</v>
      </c>
      <c r="B69" s="16" t="s">
        <v>162</v>
      </c>
      <c r="C69" s="20" t="s">
        <v>163</v>
      </c>
      <c r="D69" s="40">
        <v>2</v>
      </c>
      <c r="E69" s="40">
        <v>2</v>
      </c>
      <c r="F69" s="36">
        <f t="shared" si="3"/>
        <v>4</v>
      </c>
      <c r="G69" s="3">
        <v>2</v>
      </c>
      <c r="H69" s="3">
        <v>2</v>
      </c>
      <c r="I69" s="36">
        <f t="shared" si="4"/>
        <v>4</v>
      </c>
      <c r="J69" s="3">
        <v>2</v>
      </c>
      <c r="K69" s="3">
        <v>2</v>
      </c>
      <c r="L69" s="36">
        <f t="shared" si="5"/>
        <v>4</v>
      </c>
      <c r="M69" s="3">
        <v>2</v>
      </c>
      <c r="N69" s="3">
        <v>2</v>
      </c>
      <c r="O69" s="3">
        <v>2</v>
      </c>
      <c r="P69" s="38">
        <f t="shared" si="6"/>
        <v>6</v>
      </c>
      <c r="Q69" s="3">
        <v>2</v>
      </c>
      <c r="R69" s="40">
        <f t="shared" ref="R69:R70" si="12">SUM(Q69:Q69)</f>
        <v>2</v>
      </c>
      <c r="S69" s="3">
        <v>0</v>
      </c>
      <c r="T69" s="3">
        <v>0</v>
      </c>
      <c r="U69" s="40">
        <f t="shared" ref="U69:U70" si="13">SUM(S69:T69)</f>
        <v>0</v>
      </c>
      <c r="V69" s="3">
        <v>2</v>
      </c>
      <c r="W69" s="40">
        <f t="shared" ref="W69:W70" si="14">SUM(V69:V69)</f>
        <v>2</v>
      </c>
      <c r="Z69" s="22">
        <f t="shared" si="7"/>
        <v>22</v>
      </c>
      <c r="AA69" s="22">
        <f t="shared" si="8"/>
        <v>84.615384615384613</v>
      </c>
    </row>
    <row r="70" spans="1:27" ht="18" x14ac:dyDescent="0.35">
      <c r="A70" s="2">
        <v>65</v>
      </c>
      <c r="B70" s="17" t="s">
        <v>164</v>
      </c>
      <c r="C70" s="21" t="s">
        <v>165</v>
      </c>
      <c r="D70" s="40">
        <v>2</v>
      </c>
      <c r="E70" s="40">
        <v>2</v>
      </c>
      <c r="F70" s="36">
        <f t="shared" ref="F70" si="15">SUM(D70:E70)</f>
        <v>4</v>
      </c>
      <c r="G70" s="3">
        <v>2</v>
      </c>
      <c r="H70" s="3">
        <v>2</v>
      </c>
      <c r="I70" s="36">
        <f t="shared" ref="I70" si="16">SUM(G70:H70)</f>
        <v>4</v>
      </c>
      <c r="J70" s="3">
        <v>2</v>
      </c>
      <c r="K70" s="3">
        <v>2</v>
      </c>
      <c r="L70" s="36">
        <f t="shared" ref="L70" si="17">SUM(J70:K70)</f>
        <v>4</v>
      </c>
      <c r="M70" s="3">
        <v>2</v>
      </c>
      <c r="N70" s="3">
        <v>0</v>
      </c>
      <c r="O70" s="3">
        <v>2</v>
      </c>
      <c r="P70" s="38">
        <f t="shared" ref="P70" si="18">SUM(M70:O70)</f>
        <v>4</v>
      </c>
      <c r="Q70" s="3">
        <v>2</v>
      </c>
      <c r="R70" s="40">
        <f t="shared" si="12"/>
        <v>2</v>
      </c>
      <c r="S70" s="3">
        <v>2</v>
      </c>
      <c r="T70" s="3">
        <v>2</v>
      </c>
      <c r="U70" s="40">
        <f t="shared" si="13"/>
        <v>4</v>
      </c>
      <c r="V70" s="3">
        <v>2</v>
      </c>
      <c r="W70" s="40">
        <f t="shared" si="14"/>
        <v>2</v>
      </c>
      <c r="Z70" s="22">
        <f t="shared" si="7"/>
        <v>24</v>
      </c>
      <c r="AA70" s="22">
        <f t="shared" si="8"/>
        <v>92.307692307692307</v>
      </c>
    </row>
  </sheetData>
  <mergeCells count="16">
    <mergeCell ref="M2:O2"/>
    <mergeCell ref="P2:P3"/>
    <mergeCell ref="A3:A4"/>
    <mergeCell ref="B3:B4"/>
    <mergeCell ref="A5:B5"/>
    <mergeCell ref="D2:E2"/>
    <mergeCell ref="F2:F3"/>
    <mergeCell ref="G2:H2"/>
    <mergeCell ref="I2:I3"/>
    <mergeCell ref="J2:K2"/>
    <mergeCell ref="L2:L3"/>
    <mergeCell ref="W2:W3"/>
    <mergeCell ref="Q2"/>
    <mergeCell ref="R2:R3"/>
    <mergeCell ref="S2:T2"/>
    <mergeCell ref="U2:U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zoomScale="80" zoomScaleNormal="80" workbookViewId="0">
      <selection activeCell="F2" sqref="F2:F3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5" width="9.109375" style="15" hidden="1" customWidth="1"/>
    <col min="6" max="6" width="18.6640625" style="15" customWidth="1"/>
    <col min="7" max="8" width="9.109375" style="15" hidden="1" customWidth="1"/>
    <col min="9" max="9" width="14.5546875" style="15" customWidth="1"/>
    <col min="10" max="11" width="9.109375" style="15" hidden="1" customWidth="1"/>
    <col min="12" max="12" width="15.21875" style="15" customWidth="1"/>
    <col min="13" max="13" width="9.109375" style="15" hidden="1" customWidth="1"/>
    <col min="14" max="14" width="15" style="15" customWidth="1"/>
    <col min="15" max="16" width="9.109375" style="15" customWidth="1"/>
    <col min="17" max="17" width="9.109375" style="15"/>
    <col min="18" max="18" width="9.109375" style="15" customWidth="1"/>
    <col min="19" max="19" width="9.109375" style="15"/>
    <col min="20" max="21" width="9.109375" style="15" customWidth="1"/>
    <col min="22" max="16384" width="9.109375" style="15"/>
  </cols>
  <sheetData>
    <row r="1" spans="1:26" ht="15.75" thickBot="1" x14ac:dyDescent="0.3"/>
    <row r="2" spans="1:26" ht="15.75" customHeight="1" thickBot="1" x14ac:dyDescent="0.3">
      <c r="D2" s="64" t="s">
        <v>35</v>
      </c>
      <c r="E2" s="64"/>
      <c r="F2" s="60" t="s">
        <v>16</v>
      </c>
      <c r="G2" s="63" t="s">
        <v>7</v>
      </c>
      <c r="H2" s="63"/>
      <c r="I2" s="60" t="s">
        <v>17</v>
      </c>
      <c r="J2" s="64" t="s">
        <v>7</v>
      </c>
      <c r="K2" s="64"/>
      <c r="L2" s="60" t="s">
        <v>18</v>
      </c>
      <c r="M2" s="53" t="s">
        <v>166</v>
      </c>
      <c r="N2" s="52" t="s">
        <v>19</v>
      </c>
      <c r="O2" s="53" t="s">
        <v>173</v>
      </c>
      <c r="P2" s="53"/>
      <c r="Q2" s="54" t="s">
        <v>168</v>
      </c>
      <c r="R2" s="32" t="s">
        <v>171</v>
      </c>
      <c r="S2" s="52" t="s">
        <v>169</v>
      </c>
      <c r="T2" s="53"/>
      <c r="U2" s="53"/>
      <c r="V2" s="52" t="s">
        <v>170</v>
      </c>
    </row>
    <row r="3" spans="1:26" x14ac:dyDescent="0.25">
      <c r="A3" s="58"/>
      <c r="B3" s="59"/>
      <c r="C3" s="29"/>
      <c r="D3" s="4" t="s">
        <v>12</v>
      </c>
      <c r="E3" s="4" t="s">
        <v>12</v>
      </c>
      <c r="F3" s="61"/>
      <c r="G3" s="4" t="s">
        <v>12</v>
      </c>
      <c r="H3" s="4" t="s">
        <v>12</v>
      </c>
      <c r="I3" s="61"/>
      <c r="J3" s="4" t="s">
        <v>12</v>
      </c>
      <c r="K3" s="4" t="s">
        <v>12</v>
      </c>
      <c r="L3" s="61"/>
      <c r="M3" s="30" t="s">
        <v>5</v>
      </c>
      <c r="N3" s="52"/>
      <c r="O3" s="34" t="s">
        <v>5</v>
      </c>
      <c r="P3" s="34" t="s">
        <v>5</v>
      </c>
      <c r="Q3" s="55"/>
      <c r="R3" s="34" t="s">
        <v>5</v>
      </c>
      <c r="S3" s="52"/>
      <c r="T3" s="34" t="s">
        <v>5</v>
      </c>
      <c r="U3" s="34" t="s">
        <v>5</v>
      </c>
      <c r="V3" s="52"/>
    </row>
    <row r="4" spans="1:26" x14ac:dyDescent="0.25">
      <c r="A4" s="58"/>
      <c r="B4" s="59"/>
      <c r="C4" s="35" t="s">
        <v>167</v>
      </c>
      <c r="D4" s="6">
        <v>19</v>
      </c>
      <c r="E4" s="6">
        <v>26</v>
      </c>
      <c r="F4" s="6"/>
      <c r="G4" s="30">
        <v>2</v>
      </c>
      <c r="H4" s="30">
        <v>9</v>
      </c>
      <c r="I4" s="30"/>
      <c r="J4" s="30">
        <v>23</v>
      </c>
      <c r="K4" s="30">
        <v>30</v>
      </c>
      <c r="L4" s="27"/>
      <c r="M4" s="30">
        <v>13</v>
      </c>
      <c r="N4" s="7"/>
      <c r="O4" s="34">
        <v>20</v>
      </c>
      <c r="P4" s="34">
        <v>27</v>
      </c>
      <c r="Q4" s="7"/>
      <c r="R4" s="34">
        <v>11</v>
      </c>
      <c r="S4" s="7"/>
      <c r="T4" s="34">
        <v>25</v>
      </c>
      <c r="U4" s="34">
        <v>31</v>
      </c>
      <c r="V4" s="7"/>
    </row>
    <row r="5" spans="1:26" s="26" customFormat="1" ht="21" customHeight="1" x14ac:dyDescent="0.25">
      <c r="A5" s="57" t="s">
        <v>0</v>
      </c>
      <c r="B5" s="57"/>
      <c r="C5" s="28"/>
      <c r="D5" s="41">
        <v>2</v>
      </c>
      <c r="E5" s="25">
        <v>2</v>
      </c>
      <c r="F5" s="36">
        <f>SUM(D5:E5)</f>
        <v>4</v>
      </c>
      <c r="G5" s="25">
        <v>2</v>
      </c>
      <c r="H5" s="25">
        <v>2</v>
      </c>
      <c r="I5" s="36">
        <f>SUM(G5:H5)</f>
        <v>4</v>
      </c>
      <c r="J5" s="25">
        <v>2</v>
      </c>
      <c r="K5" s="25">
        <v>2</v>
      </c>
      <c r="L5" s="36">
        <f>SUM(J5:K5)</f>
        <v>4</v>
      </c>
      <c r="M5" s="25">
        <v>2</v>
      </c>
      <c r="N5" s="38">
        <f>SUM(M5:M5)</f>
        <v>2</v>
      </c>
      <c r="O5" s="25">
        <v>2</v>
      </c>
      <c r="P5" s="25">
        <v>2</v>
      </c>
      <c r="Q5" s="38">
        <f t="shared" ref="Q5:Q36" si="0">SUM(O5:P5)</f>
        <v>4</v>
      </c>
      <c r="R5" s="24">
        <v>2</v>
      </c>
      <c r="S5" s="38">
        <f t="shared" ref="S5:S36" si="1">SUM(R5:R5)</f>
        <v>2</v>
      </c>
      <c r="T5" s="24">
        <v>2</v>
      </c>
      <c r="U5" s="25">
        <v>2</v>
      </c>
      <c r="V5" s="38">
        <f t="shared" ref="V5:V36" si="2">SUM(T5:U5)</f>
        <v>4</v>
      </c>
      <c r="Y5" s="28">
        <f t="shared" ref="Y5:Y36" si="3">F5+I5+L5+N5+Q5+S5+V5</f>
        <v>24</v>
      </c>
      <c r="Z5" s="28"/>
    </row>
    <row r="6" spans="1:26" ht="18.75" x14ac:dyDescent="0.3">
      <c r="A6" s="2">
        <v>1</v>
      </c>
      <c r="B6" s="16" t="s">
        <v>36</v>
      </c>
      <c r="C6" s="20" t="s">
        <v>37</v>
      </c>
      <c r="D6" s="3">
        <v>2</v>
      </c>
      <c r="E6" s="3">
        <v>0</v>
      </c>
      <c r="F6" s="36">
        <f t="shared" ref="F6:F69" si="4">SUM(D6:E6)</f>
        <v>2</v>
      </c>
      <c r="G6" s="3">
        <v>2</v>
      </c>
      <c r="H6" s="3">
        <v>2</v>
      </c>
      <c r="I6" s="36">
        <f t="shared" ref="I6:I69" si="5">SUM(G6:H6)</f>
        <v>4</v>
      </c>
      <c r="J6" s="3">
        <v>2</v>
      </c>
      <c r="K6" s="3">
        <v>2</v>
      </c>
      <c r="L6" s="36">
        <f t="shared" ref="L6:L69" si="6">SUM(J6:K6)</f>
        <v>4</v>
      </c>
      <c r="M6" s="3">
        <v>2</v>
      </c>
      <c r="N6" s="38">
        <f t="shared" ref="N6:N69" si="7">SUM(M6:M6)</f>
        <v>2</v>
      </c>
      <c r="O6" s="3">
        <v>0</v>
      </c>
      <c r="P6" s="3">
        <v>0</v>
      </c>
      <c r="Q6" s="43">
        <f t="shared" si="0"/>
        <v>0</v>
      </c>
      <c r="R6" s="3">
        <v>2</v>
      </c>
      <c r="S6" s="43">
        <f t="shared" si="1"/>
        <v>2</v>
      </c>
      <c r="T6" s="3">
        <v>2</v>
      </c>
      <c r="U6" s="3">
        <v>2</v>
      </c>
      <c r="V6" s="43">
        <f t="shared" si="2"/>
        <v>4</v>
      </c>
      <c r="Y6" s="22">
        <f t="shared" si="3"/>
        <v>18</v>
      </c>
      <c r="Z6" s="22">
        <f>Y6/24*100</f>
        <v>75</v>
      </c>
    </row>
    <row r="7" spans="1:26" ht="18.75" x14ac:dyDescent="0.3">
      <c r="A7" s="2">
        <v>2</v>
      </c>
      <c r="B7" s="16" t="s">
        <v>38</v>
      </c>
      <c r="C7" s="20" t="s">
        <v>39</v>
      </c>
      <c r="D7" s="3">
        <v>2</v>
      </c>
      <c r="E7" s="3">
        <v>2</v>
      </c>
      <c r="F7" s="36">
        <f t="shared" si="4"/>
        <v>4</v>
      </c>
      <c r="G7" s="3">
        <v>0</v>
      </c>
      <c r="H7" s="3">
        <v>2</v>
      </c>
      <c r="I7" s="36">
        <f t="shared" si="5"/>
        <v>2</v>
      </c>
      <c r="J7" s="3">
        <v>2</v>
      </c>
      <c r="K7" s="3">
        <v>2</v>
      </c>
      <c r="L7" s="36">
        <f t="shared" si="6"/>
        <v>4</v>
      </c>
      <c r="M7" s="3">
        <v>2</v>
      </c>
      <c r="N7" s="38">
        <f t="shared" si="7"/>
        <v>2</v>
      </c>
      <c r="O7" s="3">
        <v>2</v>
      </c>
      <c r="P7" s="3">
        <v>2</v>
      </c>
      <c r="Q7" s="43">
        <f t="shared" si="0"/>
        <v>4</v>
      </c>
      <c r="R7" s="3">
        <v>2</v>
      </c>
      <c r="S7" s="43">
        <f t="shared" si="1"/>
        <v>2</v>
      </c>
      <c r="T7" s="3">
        <v>2</v>
      </c>
      <c r="U7" s="3">
        <v>2</v>
      </c>
      <c r="V7" s="43">
        <f t="shared" si="2"/>
        <v>4</v>
      </c>
      <c r="Y7" s="22">
        <f t="shared" si="3"/>
        <v>22</v>
      </c>
      <c r="Z7" s="22">
        <f t="shared" ref="Z7:Z70" si="8">Y7/24*100</f>
        <v>91.666666666666657</v>
      </c>
    </row>
    <row r="8" spans="1:26" ht="18.75" x14ac:dyDescent="0.3">
      <c r="A8" s="2">
        <v>3</v>
      </c>
      <c r="B8" s="16" t="s">
        <v>40</v>
      </c>
      <c r="C8" s="20" t="s">
        <v>41</v>
      </c>
      <c r="D8" s="3">
        <v>2</v>
      </c>
      <c r="E8" s="3">
        <v>2</v>
      </c>
      <c r="F8" s="36">
        <f t="shared" si="4"/>
        <v>4</v>
      </c>
      <c r="G8" s="3">
        <v>2</v>
      </c>
      <c r="H8" s="3">
        <v>0</v>
      </c>
      <c r="I8" s="36">
        <f t="shared" si="5"/>
        <v>2</v>
      </c>
      <c r="J8" s="3">
        <v>2</v>
      </c>
      <c r="K8" s="3">
        <v>2</v>
      </c>
      <c r="L8" s="36">
        <f t="shared" si="6"/>
        <v>4</v>
      </c>
      <c r="M8" s="3">
        <v>2</v>
      </c>
      <c r="N8" s="38">
        <f t="shared" si="7"/>
        <v>2</v>
      </c>
      <c r="O8" s="3">
        <v>0</v>
      </c>
      <c r="P8" s="3">
        <v>0</v>
      </c>
      <c r="Q8" s="43">
        <f t="shared" si="0"/>
        <v>0</v>
      </c>
      <c r="R8" s="3">
        <v>2</v>
      </c>
      <c r="S8" s="43">
        <f t="shared" si="1"/>
        <v>2</v>
      </c>
      <c r="T8" s="3">
        <v>2</v>
      </c>
      <c r="U8" s="3">
        <v>2</v>
      </c>
      <c r="V8" s="43">
        <f t="shared" si="2"/>
        <v>4</v>
      </c>
      <c r="Y8" s="22">
        <f t="shared" si="3"/>
        <v>18</v>
      </c>
      <c r="Z8" s="22">
        <f t="shared" si="8"/>
        <v>75</v>
      </c>
    </row>
    <row r="9" spans="1:26" ht="18.75" x14ac:dyDescent="0.3">
      <c r="A9" s="2">
        <v>4</v>
      </c>
      <c r="B9" s="16" t="s">
        <v>42</v>
      </c>
      <c r="C9" s="20" t="s">
        <v>43</v>
      </c>
      <c r="D9" s="3">
        <v>2</v>
      </c>
      <c r="E9" s="3">
        <v>2</v>
      </c>
      <c r="F9" s="36">
        <f t="shared" si="4"/>
        <v>4</v>
      </c>
      <c r="G9" s="3">
        <v>2</v>
      </c>
      <c r="H9" s="3">
        <v>2</v>
      </c>
      <c r="I9" s="36">
        <f t="shared" si="5"/>
        <v>4</v>
      </c>
      <c r="J9" s="3">
        <v>0</v>
      </c>
      <c r="K9" s="3">
        <v>2</v>
      </c>
      <c r="L9" s="36">
        <f t="shared" si="6"/>
        <v>2</v>
      </c>
      <c r="M9" s="3">
        <v>2</v>
      </c>
      <c r="N9" s="38">
        <f t="shared" si="7"/>
        <v>2</v>
      </c>
      <c r="O9" s="3">
        <v>2</v>
      </c>
      <c r="P9" s="3">
        <v>2</v>
      </c>
      <c r="Q9" s="43">
        <f t="shared" si="0"/>
        <v>4</v>
      </c>
      <c r="R9" s="3">
        <v>2</v>
      </c>
      <c r="S9" s="43">
        <f t="shared" si="1"/>
        <v>2</v>
      </c>
      <c r="T9" s="3">
        <v>2</v>
      </c>
      <c r="U9" s="3">
        <v>2</v>
      </c>
      <c r="V9" s="43">
        <f t="shared" si="2"/>
        <v>4</v>
      </c>
      <c r="Y9" s="22">
        <f t="shared" si="3"/>
        <v>22</v>
      </c>
      <c r="Z9" s="22">
        <f t="shared" si="8"/>
        <v>91.666666666666657</v>
      </c>
    </row>
    <row r="10" spans="1:26" ht="18.75" x14ac:dyDescent="0.3">
      <c r="A10" s="2">
        <v>5</v>
      </c>
      <c r="B10" s="16" t="s">
        <v>44</v>
      </c>
      <c r="C10" s="20" t="s">
        <v>45</v>
      </c>
      <c r="D10" s="3">
        <v>2</v>
      </c>
      <c r="E10" s="3">
        <v>2</v>
      </c>
      <c r="F10" s="36">
        <f t="shared" si="4"/>
        <v>4</v>
      </c>
      <c r="G10" s="3">
        <v>2</v>
      </c>
      <c r="H10" s="3">
        <v>2</v>
      </c>
      <c r="I10" s="36">
        <f t="shared" si="5"/>
        <v>4</v>
      </c>
      <c r="J10" s="3">
        <v>2</v>
      </c>
      <c r="K10" s="3">
        <v>0</v>
      </c>
      <c r="L10" s="36">
        <f t="shared" si="6"/>
        <v>2</v>
      </c>
      <c r="M10" s="3">
        <v>2</v>
      </c>
      <c r="N10" s="38">
        <f t="shared" si="7"/>
        <v>2</v>
      </c>
      <c r="O10" s="3">
        <v>0</v>
      </c>
      <c r="P10" s="3">
        <v>0</v>
      </c>
      <c r="Q10" s="43">
        <f t="shared" si="0"/>
        <v>0</v>
      </c>
      <c r="R10" s="3">
        <v>2</v>
      </c>
      <c r="S10" s="43">
        <f t="shared" si="1"/>
        <v>2</v>
      </c>
      <c r="T10" s="3">
        <v>2</v>
      </c>
      <c r="U10" s="3">
        <v>2</v>
      </c>
      <c r="V10" s="43">
        <f t="shared" si="2"/>
        <v>4</v>
      </c>
      <c r="Y10" s="22">
        <f t="shared" si="3"/>
        <v>18</v>
      </c>
      <c r="Z10" s="22">
        <f t="shared" si="8"/>
        <v>75</v>
      </c>
    </row>
    <row r="11" spans="1:26" ht="18.75" x14ac:dyDescent="0.3">
      <c r="A11" s="2">
        <v>6</v>
      </c>
      <c r="B11" s="16" t="s">
        <v>46</v>
      </c>
      <c r="C11" s="20" t="s">
        <v>47</v>
      </c>
      <c r="D11" s="3">
        <v>2</v>
      </c>
      <c r="E11" s="3">
        <v>2</v>
      </c>
      <c r="F11" s="36">
        <f t="shared" si="4"/>
        <v>4</v>
      </c>
      <c r="G11" s="3">
        <v>2</v>
      </c>
      <c r="H11" s="3">
        <v>2</v>
      </c>
      <c r="I11" s="36">
        <f t="shared" si="5"/>
        <v>4</v>
      </c>
      <c r="J11" s="3">
        <v>2</v>
      </c>
      <c r="K11" s="3">
        <v>2</v>
      </c>
      <c r="L11" s="36">
        <f t="shared" si="6"/>
        <v>4</v>
      </c>
      <c r="M11" s="3">
        <v>0</v>
      </c>
      <c r="N11" s="38">
        <f t="shared" si="7"/>
        <v>0</v>
      </c>
      <c r="O11" s="3">
        <v>2</v>
      </c>
      <c r="P11" s="3">
        <v>2</v>
      </c>
      <c r="Q11" s="43">
        <f t="shared" si="0"/>
        <v>4</v>
      </c>
      <c r="R11" s="3">
        <v>2</v>
      </c>
      <c r="S11" s="43">
        <f t="shared" si="1"/>
        <v>2</v>
      </c>
      <c r="T11" s="3">
        <v>2</v>
      </c>
      <c r="U11" s="3">
        <v>2</v>
      </c>
      <c r="V11" s="43">
        <f t="shared" si="2"/>
        <v>4</v>
      </c>
      <c r="Y11" s="22">
        <f t="shared" si="3"/>
        <v>22</v>
      </c>
      <c r="Z11" s="22">
        <f t="shared" si="8"/>
        <v>91.666666666666657</v>
      </c>
    </row>
    <row r="12" spans="1:26" ht="18.75" x14ac:dyDescent="0.3">
      <c r="A12" s="2">
        <v>7</v>
      </c>
      <c r="B12" s="16" t="s">
        <v>48</v>
      </c>
      <c r="C12" s="20" t="s">
        <v>49</v>
      </c>
      <c r="D12" s="3">
        <v>2</v>
      </c>
      <c r="E12" s="3">
        <v>2</v>
      </c>
      <c r="F12" s="36">
        <f t="shared" si="4"/>
        <v>4</v>
      </c>
      <c r="G12" s="3">
        <v>2</v>
      </c>
      <c r="H12" s="3">
        <v>2</v>
      </c>
      <c r="I12" s="36">
        <f t="shared" si="5"/>
        <v>4</v>
      </c>
      <c r="J12" s="3">
        <v>2</v>
      </c>
      <c r="K12" s="3">
        <v>2</v>
      </c>
      <c r="L12" s="36">
        <f t="shared" si="6"/>
        <v>4</v>
      </c>
      <c r="M12" s="3">
        <v>2</v>
      </c>
      <c r="N12" s="38">
        <f t="shared" si="7"/>
        <v>2</v>
      </c>
      <c r="O12" s="3">
        <v>0</v>
      </c>
      <c r="P12" s="3">
        <v>0</v>
      </c>
      <c r="Q12" s="43">
        <f t="shared" si="0"/>
        <v>0</v>
      </c>
      <c r="R12" s="3">
        <v>2</v>
      </c>
      <c r="S12" s="43">
        <f t="shared" si="1"/>
        <v>2</v>
      </c>
      <c r="T12" s="3">
        <v>2</v>
      </c>
      <c r="U12" s="3">
        <v>2</v>
      </c>
      <c r="V12" s="43">
        <f t="shared" si="2"/>
        <v>4</v>
      </c>
      <c r="Y12" s="22">
        <f t="shared" si="3"/>
        <v>20</v>
      </c>
      <c r="Z12" s="22">
        <f t="shared" si="8"/>
        <v>83.333333333333343</v>
      </c>
    </row>
    <row r="13" spans="1:26" ht="18.75" x14ac:dyDescent="0.3">
      <c r="A13" s="2">
        <v>8</v>
      </c>
      <c r="B13" s="16" t="s">
        <v>50</v>
      </c>
      <c r="C13" s="20" t="s">
        <v>51</v>
      </c>
      <c r="D13" s="3">
        <v>2</v>
      </c>
      <c r="E13" s="3">
        <v>2</v>
      </c>
      <c r="F13" s="36">
        <f t="shared" si="4"/>
        <v>4</v>
      </c>
      <c r="G13" s="3">
        <v>2</v>
      </c>
      <c r="H13" s="3">
        <v>2</v>
      </c>
      <c r="I13" s="36">
        <f t="shared" si="5"/>
        <v>4</v>
      </c>
      <c r="J13" s="3">
        <v>2</v>
      </c>
      <c r="K13" s="3">
        <v>2</v>
      </c>
      <c r="L13" s="36">
        <f t="shared" si="6"/>
        <v>4</v>
      </c>
      <c r="M13" s="3">
        <v>0</v>
      </c>
      <c r="N13" s="38">
        <f t="shared" si="7"/>
        <v>0</v>
      </c>
      <c r="O13" s="3">
        <v>2</v>
      </c>
      <c r="P13" s="3">
        <v>2</v>
      </c>
      <c r="Q13" s="43">
        <f t="shared" si="0"/>
        <v>4</v>
      </c>
      <c r="R13" s="3">
        <v>2</v>
      </c>
      <c r="S13" s="43">
        <f t="shared" si="1"/>
        <v>2</v>
      </c>
      <c r="T13" s="3">
        <v>2</v>
      </c>
      <c r="U13" s="3">
        <v>2</v>
      </c>
      <c r="V13" s="43">
        <f t="shared" si="2"/>
        <v>4</v>
      </c>
      <c r="Y13" s="22">
        <f t="shared" si="3"/>
        <v>22</v>
      </c>
      <c r="Z13" s="22">
        <f t="shared" si="8"/>
        <v>91.666666666666657</v>
      </c>
    </row>
    <row r="14" spans="1:26" ht="18.75" x14ac:dyDescent="0.3">
      <c r="A14" s="2">
        <v>9</v>
      </c>
      <c r="B14" s="16" t="s">
        <v>52</v>
      </c>
      <c r="C14" s="20" t="s">
        <v>53</v>
      </c>
      <c r="D14" s="3">
        <v>2</v>
      </c>
      <c r="E14" s="3">
        <v>2</v>
      </c>
      <c r="F14" s="36">
        <f t="shared" si="4"/>
        <v>4</v>
      </c>
      <c r="G14" s="3">
        <v>2</v>
      </c>
      <c r="H14" s="3">
        <v>2</v>
      </c>
      <c r="I14" s="36">
        <f t="shared" si="5"/>
        <v>4</v>
      </c>
      <c r="J14" s="3">
        <v>2</v>
      </c>
      <c r="K14" s="3">
        <v>0</v>
      </c>
      <c r="L14" s="36">
        <f t="shared" si="6"/>
        <v>2</v>
      </c>
      <c r="M14" s="3">
        <v>2</v>
      </c>
      <c r="N14" s="38">
        <f t="shared" si="7"/>
        <v>2</v>
      </c>
      <c r="O14" s="3">
        <v>0</v>
      </c>
      <c r="P14" s="3">
        <v>0</v>
      </c>
      <c r="Q14" s="43">
        <f t="shared" si="0"/>
        <v>0</v>
      </c>
      <c r="R14" s="3">
        <v>2</v>
      </c>
      <c r="S14" s="43">
        <f t="shared" si="1"/>
        <v>2</v>
      </c>
      <c r="T14" s="3">
        <v>2</v>
      </c>
      <c r="U14" s="3">
        <v>2</v>
      </c>
      <c r="V14" s="43">
        <f t="shared" si="2"/>
        <v>4</v>
      </c>
      <c r="Y14" s="22">
        <f t="shared" si="3"/>
        <v>18</v>
      </c>
      <c r="Z14" s="22">
        <f t="shared" si="8"/>
        <v>75</v>
      </c>
    </row>
    <row r="15" spans="1:26" ht="18.75" x14ac:dyDescent="0.3">
      <c r="A15" s="2">
        <v>10</v>
      </c>
      <c r="B15" s="16" t="s">
        <v>54</v>
      </c>
      <c r="C15" s="20" t="s">
        <v>55</v>
      </c>
      <c r="D15" s="3">
        <v>2</v>
      </c>
      <c r="E15" s="3">
        <v>2</v>
      </c>
      <c r="F15" s="36">
        <f t="shared" si="4"/>
        <v>4</v>
      </c>
      <c r="G15" s="3">
        <v>2</v>
      </c>
      <c r="H15" s="3">
        <v>2</v>
      </c>
      <c r="I15" s="36">
        <f t="shared" si="5"/>
        <v>4</v>
      </c>
      <c r="J15" s="3">
        <v>0</v>
      </c>
      <c r="K15" s="3">
        <v>2</v>
      </c>
      <c r="L15" s="36">
        <f t="shared" si="6"/>
        <v>2</v>
      </c>
      <c r="M15" s="3">
        <v>2</v>
      </c>
      <c r="N15" s="38">
        <f t="shared" si="7"/>
        <v>2</v>
      </c>
      <c r="O15" s="3">
        <v>0</v>
      </c>
      <c r="P15" s="3">
        <v>0</v>
      </c>
      <c r="Q15" s="43">
        <f t="shared" si="0"/>
        <v>0</v>
      </c>
      <c r="R15" s="3">
        <v>2</v>
      </c>
      <c r="S15" s="43">
        <f t="shared" si="1"/>
        <v>2</v>
      </c>
      <c r="T15" s="3">
        <v>2</v>
      </c>
      <c r="U15" s="3">
        <v>2</v>
      </c>
      <c r="V15" s="43">
        <f t="shared" si="2"/>
        <v>4</v>
      </c>
      <c r="Y15" s="22">
        <f t="shared" si="3"/>
        <v>18</v>
      </c>
      <c r="Z15" s="22">
        <f t="shared" si="8"/>
        <v>75</v>
      </c>
    </row>
    <row r="16" spans="1:26" ht="18.75" x14ac:dyDescent="0.3">
      <c r="A16" s="2">
        <v>11</v>
      </c>
      <c r="B16" s="16" t="s">
        <v>56</v>
      </c>
      <c r="C16" s="20" t="s">
        <v>57</v>
      </c>
      <c r="D16" s="3">
        <v>2</v>
      </c>
      <c r="E16" s="3">
        <v>2</v>
      </c>
      <c r="F16" s="36">
        <f t="shared" si="4"/>
        <v>4</v>
      </c>
      <c r="G16" s="3">
        <v>2</v>
      </c>
      <c r="H16" s="3">
        <v>0</v>
      </c>
      <c r="I16" s="36">
        <f t="shared" si="5"/>
        <v>2</v>
      </c>
      <c r="J16" s="3">
        <v>2</v>
      </c>
      <c r="K16" s="3">
        <v>2</v>
      </c>
      <c r="L16" s="36">
        <f t="shared" si="6"/>
        <v>4</v>
      </c>
      <c r="M16" s="3">
        <v>2</v>
      </c>
      <c r="N16" s="38">
        <f t="shared" si="7"/>
        <v>2</v>
      </c>
      <c r="O16" s="3">
        <v>2</v>
      </c>
      <c r="P16" s="3">
        <v>2</v>
      </c>
      <c r="Q16" s="43">
        <f t="shared" si="0"/>
        <v>4</v>
      </c>
      <c r="R16" s="3">
        <v>2</v>
      </c>
      <c r="S16" s="43">
        <f t="shared" si="1"/>
        <v>2</v>
      </c>
      <c r="T16" s="3">
        <v>2</v>
      </c>
      <c r="U16" s="3">
        <v>2</v>
      </c>
      <c r="V16" s="43">
        <f t="shared" si="2"/>
        <v>4</v>
      </c>
      <c r="Y16" s="22">
        <f t="shared" si="3"/>
        <v>22</v>
      </c>
      <c r="Z16" s="22">
        <f t="shared" si="8"/>
        <v>91.666666666666657</v>
      </c>
    </row>
    <row r="17" spans="1:26" ht="18.75" x14ac:dyDescent="0.3">
      <c r="A17" s="2">
        <v>12</v>
      </c>
      <c r="B17" s="16" t="s">
        <v>58</v>
      </c>
      <c r="C17" s="20" t="s">
        <v>59</v>
      </c>
      <c r="D17" s="3">
        <v>2</v>
      </c>
      <c r="E17" s="3">
        <v>2</v>
      </c>
      <c r="F17" s="36">
        <f t="shared" si="4"/>
        <v>4</v>
      </c>
      <c r="G17" s="3">
        <v>0</v>
      </c>
      <c r="H17" s="3">
        <v>2</v>
      </c>
      <c r="I17" s="36">
        <f t="shared" si="5"/>
        <v>2</v>
      </c>
      <c r="J17" s="3">
        <v>2</v>
      </c>
      <c r="K17" s="3">
        <v>2</v>
      </c>
      <c r="L17" s="36">
        <f t="shared" si="6"/>
        <v>4</v>
      </c>
      <c r="M17" s="3">
        <v>2</v>
      </c>
      <c r="N17" s="38">
        <f t="shared" si="7"/>
        <v>2</v>
      </c>
      <c r="O17" s="3">
        <v>2</v>
      </c>
      <c r="P17" s="3">
        <v>2</v>
      </c>
      <c r="Q17" s="43">
        <f t="shared" si="0"/>
        <v>4</v>
      </c>
      <c r="R17" s="3">
        <v>2</v>
      </c>
      <c r="S17" s="43">
        <f t="shared" si="1"/>
        <v>2</v>
      </c>
      <c r="T17" s="3">
        <v>2</v>
      </c>
      <c r="U17" s="3">
        <v>2</v>
      </c>
      <c r="V17" s="43">
        <f t="shared" si="2"/>
        <v>4</v>
      </c>
      <c r="Y17" s="22">
        <f t="shared" si="3"/>
        <v>22</v>
      </c>
      <c r="Z17" s="22">
        <f t="shared" si="8"/>
        <v>91.666666666666657</v>
      </c>
    </row>
    <row r="18" spans="1:26" ht="18.75" x14ac:dyDescent="0.3">
      <c r="A18" s="2">
        <v>13</v>
      </c>
      <c r="B18" s="16" t="s">
        <v>60</v>
      </c>
      <c r="C18" s="20" t="s">
        <v>61</v>
      </c>
      <c r="D18" s="3">
        <v>2</v>
      </c>
      <c r="E18" s="3">
        <v>0</v>
      </c>
      <c r="F18" s="36">
        <f t="shared" si="4"/>
        <v>2</v>
      </c>
      <c r="G18" s="3">
        <v>2</v>
      </c>
      <c r="H18" s="3">
        <v>2</v>
      </c>
      <c r="I18" s="36">
        <f t="shared" si="5"/>
        <v>4</v>
      </c>
      <c r="J18" s="3">
        <v>2</v>
      </c>
      <c r="K18" s="3">
        <v>2</v>
      </c>
      <c r="L18" s="36">
        <f t="shared" si="6"/>
        <v>4</v>
      </c>
      <c r="M18" s="3">
        <v>2</v>
      </c>
      <c r="N18" s="38">
        <f t="shared" si="7"/>
        <v>2</v>
      </c>
      <c r="O18" s="3">
        <v>0</v>
      </c>
      <c r="P18" s="3">
        <v>0</v>
      </c>
      <c r="Q18" s="43">
        <f t="shared" si="0"/>
        <v>0</v>
      </c>
      <c r="R18" s="3">
        <v>2</v>
      </c>
      <c r="S18" s="43">
        <f t="shared" si="1"/>
        <v>2</v>
      </c>
      <c r="T18" s="3">
        <v>2</v>
      </c>
      <c r="U18" s="3">
        <v>2</v>
      </c>
      <c r="V18" s="43">
        <f t="shared" si="2"/>
        <v>4</v>
      </c>
      <c r="Y18" s="22">
        <f t="shared" si="3"/>
        <v>18</v>
      </c>
      <c r="Z18" s="22">
        <f t="shared" si="8"/>
        <v>75</v>
      </c>
    </row>
    <row r="19" spans="1:26" ht="18.75" x14ac:dyDescent="0.3">
      <c r="A19" s="2">
        <v>14</v>
      </c>
      <c r="B19" s="16" t="s">
        <v>62</v>
      </c>
      <c r="C19" s="20" t="s">
        <v>63</v>
      </c>
      <c r="D19" s="3">
        <v>0</v>
      </c>
      <c r="E19" s="3">
        <v>2</v>
      </c>
      <c r="F19" s="36">
        <f t="shared" si="4"/>
        <v>2</v>
      </c>
      <c r="G19" s="3">
        <v>2</v>
      </c>
      <c r="H19" s="3">
        <v>2</v>
      </c>
      <c r="I19" s="36">
        <f t="shared" si="5"/>
        <v>4</v>
      </c>
      <c r="J19" s="3">
        <v>2</v>
      </c>
      <c r="K19" s="3">
        <v>2</v>
      </c>
      <c r="L19" s="36">
        <f t="shared" si="6"/>
        <v>4</v>
      </c>
      <c r="M19" s="3">
        <v>2</v>
      </c>
      <c r="N19" s="38">
        <f t="shared" si="7"/>
        <v>2</v>
      </c>
      <c r="O19" s="3">
        <v>2</v>
      </c>
      <c r="P19" s="3">
        <v>2</v>
      </c>
      <c r="Q19" s="43">
        <f t="shared" si="0"/>
        <v>4</v>
      </c>
      <c r="R19" s="3">
        <v>2</v>
      </c>
      <c r="S19" s="43">
        <f t="shared" si="1"/>
        <v>2</v>
      </c>
      <c r="T19" s="3">
        <v>2</v>
      </c>
      <c r="U19" s="3">
        <v>2</v>
      </c>
      <c r="V19" s="43">
        <f t="shared" si="2"/>
        <v>4</v>
      </c>
      <c r="Y19" s="22">
        <f t="shared" si="3"/>
        <v>22</v>
      </c>
      <c r="Z19" s="22">
        <f t="shared" si="8"/>
        <v>91.666666666666657</v>
      </c>
    </row>
    <row r="20" spans="1:26" ht="18.75" x14ac:dyDescent="0.3">
      <c r="A20" s="2">
        <v>15</v>
      </c>
      <c r="B20" s="16" t="s">
        <v>64</v>
      </c>
      <c r="C20" s="20" t="s">
        <v>65</v>
      </c>
      <c r="D20" s="3">
        <v>2</v>
      </c>
      <c r="E20" s="3">
        <v>2</v>
      </c>
      <c r="F20" s="36">
        <f t="shared" si="4"/>
        <v>4</v>
      </c>
      <c r="G20" s="3">
        <v>2</v>
      </c>
      <c r="H20" s="3">
        <v>2</v>
      </c>
      <c r="I20" s="36">
        <f t="shared" si="5"/>
        <v>4</v>
      </c>
      <c r="J20" s="3">
        <v>2</v>
      </c>
      <c r="K20" s="3">
        <v>2</v>
      </c>
      <c r="L20" s="36">
        <f t="shared" si="6"/>
        <v>4</v>
      </c>
      <c r="M20" s="3">
        <v>2</v>
      </c>
      <c r="N20" s="38">
        <f t="shared" si="7"/>
        <v>2</v>
      </c>
      <c r="O20" s="3">
        <v>0</v>
      </c>
      <c r="P20" s="3">
        <v>0</v>
      </c>
      <c r="Q20" s="43">
        <f t="shared" si="0"/>
        <v>0</v>
      </c>
      <c r="R20" s="3">
        <v>2</v>
      </c>
      <c r="S20" s="43">
        <f t="shared" si="1"/>
        <v>2</v>
      </c>
      <c r="T20" s="3">
        <v>2</v>
      </c>
      <c r="U20" s="3">
        <v>2</v>
      </c>
      <c r="V20" s="43">
        <f t="shared" si="2"/>
        <v>4</v>
      </c>
      <c r="Y20" s="22">
        <f t="shared" si="3"/>
        <v>20</v>
      </c>
      <c r="Z20" s="22">
        <f t="shared" si="8"/>
        <v>83.333333333333343</v>
      </c>
    </row>
    <row r="21" spans="1:26" ht="18.75" x14ac:dyDescent="0.3">
      <c r="A21" s="2">
        <v>16</v>
      </c>
      <c r="B21" s="16" t="s">
        <v>66</v>
      </c>
      <c r="C21" s="20" t="s">
        <v>67</v>
      </c>
      <c r="D21" s="3">
        <v>2</v>
      </c>
      <c r="E21" s="3">
        <v>2</v>
      </c>
      <c r="F21" s="36">
        <f t="shared" si="4"/>
        <v>4</v>
      </c>
      <c r="G21" s="3">
        <v>2</v>
      </c>
      <c r="H21" s="3">
        <v>2</v>
      </c>
      <c r="I21" s="36">
        <f t="shared" si="5"/>
        <v>4</v>
      </c>
      <c r="J21" s="3">
        <v>2</v>
      </c>
      <c r="K21" s="3">
        <v>2</v>
      </c>
      <c r="L21" s="36">
        <f t="shared" si="6"/>
        <v>4</v>
      </c>
      <c r="M21" s="3">
        <v>2</v>
      </c>
      <c r="N21" s="38">
        <f t="shared" si="7"/>
        <v>2</v>
      </c>
      <c r="O21" s="3">
        <v>0</v>
      </c>
      <c r="P21" s="3">
        <v>0</v>
      </c>
      <c r="Q21" s="43">
        <f t="shared" si="0"/>
        <v>0</v>
      </c>
      <c r="R21" s="3">
        <v>2</v>
      </c>
      <c r="S21" s="43">
        <f t="shared" si="1"/>
        <v>2</v>
      </c>
      <c r="T21" s="3">
        <v>2</v>
      </c>
      <c r="U21" s="3">
        <v>2</v>
      </c>
      <c r="V21" s="43">
        <f t="shared" si="2"/>
        <v>4</v>
      </c>
      <c r="Y21" s="22">
        <f t="shared" si="3"/>
        <v>20</v>
      </c>
      <c r="Z21" s="22">
        <f t="shared" si="8"/>
        <v>83.333333333333343</v>
      </c>
    </row>
    <row r="22" spans="1:26" ht="18.75" x14ac:dyDescent="0.3">
      <c r="A22" s="2">
        <v>17</v>
      </c>
      <c r="B22" s="16" t="s">
        <v>68</v>
      </c>
      <c r="C22" s="20" t="s">
        <v>69</v>
      </c>
      <c r="D22" s="3">
        <v>2</v>
      </c>
      <c r="E22" s="3">
        <v>2</v>
      </c>
      <c r="F22" s="36">
        <f t="shared" si="4"/>
        <v>4</v>
      </c>
      <c r="G22" s="3">
        <v>2</v>
      </c>
      <c r="H22" s="3">
        <v>2</v>
      </c>
      <c r="I22" s="36">
        <f t="shared" si="5"/>
        <v>4</v>
      </c>
      <c r="J22" s="3">
        <v>2</v>
      </c>
      <c r="K22" s="3">
        <v>2</v>
      </c>
      <c r="L22" s="36">
        <f t="shared" si="6"/>
        <v>4</v>
      </c>
      <c r="M22" s="3">
        <v>2</v>
      </c>
      <c r="N22" s="38">
        <f t="shared" si="7"/>
        <v>2</v>
      </c>
      <c r="O22" s="3">
        <v>0</v>
      </c>
      <c r="P22" s="3">
        <v>0</v>
      </c>
      <c r="Q22" s="43">
        <f t="shared" si="0"/>
        <v>0</v>
      </c>
      <c r="R22" s="3">
        <v>2</v>
      </c>
      <c r="S22" s="43">
        <f t="shared" si="1"/>
        <v>2</v>
      </c>
      <c r="T22" s="3">
        <v>2</v>
      </c>
      <c r="U22" s="3">
        <v>2</v>
      </c>
      <c r="V22" s="43">
        <f t="shared" si="2"/>
        <v>4</v>
      </c>
      <c r="Y22" s="22">
        <f t="shared" si="3"/>
        <v>20</v>
      </c>
      <c r="Z22" s="22">
        <f t="shared" si="8"/>
        <v>83.333333333333343</v>
      </c>
    </row>
    <row r="23" spans="1:26" ht="18.75" x14ac:dyDescent="0.3">
      <c r="A23" s="2">
        <v>18</v>
      </c>
      <c r="B23" s="16" t="s">
        <v>70</v>
      </c>
      <c r="C23" s="20" t="s">
        <v>71</v>
      </c>
      <c r="D23" s="3">
        <v>2</v>
      </c>
      <c r="E23" s="3">
        <v>0</v>
      </c>
      <c r="F23" s="36">
        <f t="shared" si="4"/>
        <v>2</v>
      </c>
      <c r="G23" s="3">
        <v>2</v>
      </c>
      <c r="H23" s="3">
        <v>2</v>
      </c>
      <c r="I23" s="36">
        <f t="shared" si="5"/>
        <v>4</v>
      </c>
      <c r="J23" s="3">
        <v>2</v>
      </c>
      <c r="K23" s="3">
        <v>2</v>
      </c>
      <c r="L23" s="36">
        <f t="shared" si="6"/>
        <v>4</v>
      </c>
      <c r="M23" s="3">
        <v>2</v>
      </c>
      <c r="N23" s="38">
        <f t="shared" si="7"/>
        <v>2</v>
      </c>
      <c r="O23" s="3">
        <v>2</v>
      </c>
      <c r="P23" s="3">
        <v>2</v>
      </c>
      <c r="Q23" s="43">
        <f t="shared" si="0"/>
        <v>4</v>
      </c>
      <c r="R23" s="3">
        <v>2</v>
      </c>
      <c r="S23" s="43">
        <f t="shared" si="1"/>
        <v>2</v>
      </c>
      <c r="T23" s="3">
        <v>0</v>
      </c>
      <c r="U23" s="3">
        <v>2</v>
      </c>
      <c r="V23" s="43">
        <f t="shared" si="2"/>
        <v>2</v>
      </c>
      <c r="Y23" s="22">
        <f t="shared" si="3"/>
        <v>20</v>
      </c>
      <c r="Z23" s="22">
        <f t="shared" si="8"/>
        <v>83.333333333333343</v>
      </c>
    </row>
    <row r="24" spans="1:26" ht="18" x14ac:dyDescent="0.35">
      <c r="A24" s="2">
        <v>19</v>
      </c>
      <c r="B24" s="16" t="s">
        <v>72</v>
      </c>
      <c r="C24" s="20" t="s">
        <v>73</v>
      </c>
      <c r="D24" s="3">
        <v>2</v>
      </c>
      <c r="E24" s="3">
        <v>2</v>
      </c>
      <c r="F24" s="36">
        <f t="shared" si="4"/>
        <v>4</v>
      </c>
      <c r="G24" s="3">
        <v>0</v>
      </c>
      <c r="H24" s="3">
        <v>2</v>
      </c>
      <c r="I24" s="36">
        <f t="shared" si="5"/>
        <v>2</v>
      </c>
      <c r="J24" s="3">
        <v>2</v>
      </c>
      <c r="K24" s="3">
        <v>2</v>
      </c>
      <c r="L24" s="36">
        <f t="shared" si="6"/>
        <v>4</v>
      </c>
      <c r="M24" s="3">
        <v>2</v>
      </c>
      <c r="N24" s="38">
        <f t="shared" si="7"/>
        <v>2</v>
      </c>
      <c r="O24" s="3">
        <v>0</v>
      </c>
      <c r="P24" s="3">
        <v>0</v>
      </c>
      <c r="Q24" s="43">
        <f t="shared" si="0"/>
        <v>0</v>
      </c>
      <c r="R24" s="3">
        <v>2</v>
      </c>
      <c r="S24" s="43">
        <f t="shared" si="1"/>
        <v>2</v>
      </c>
      <c r="T24" s="3">
        <v>2</v>
      </c>
      <c r="U24" s="3">
        <v>2</v>
      </c>
      <c r="V24" s="43">
        <f t="shared" si="2"/>
        <v>4</v>
      </c>
      <c r="Y24" s="22">
        <f t="shared" si="3"/>
        <v>18</v>
      </c>
      <c r="Z24" s="22">
        <f t="shared" si="8"/>
        <v>75</v>
      </c>
    </row>
    <row r="25" spans="1:26" ht="18" x14ac:dyDescent="0.35">
      <c r="A25" s="2">
        <v>20</v>
      </c>
      <c r="B25" s="16" t="s">
        <v>74</v>
      </c>
      <c r="C25" s="20" t="s">
        <v>75</v>
      </c>
      <c r="D25" s="3">
        <v>2</v>
      </c>
      <c r="E25" s="3">
        <v>2</v>
      </c>
      <c r="F25" s="36">
        <f t="shared" si="4"/>
        <v>4</v>
      </c>
      <c r="G25" s="3">
        <v>2</v>
      </c>
      <c r="H25" s="3">
        <v>0</v>
      </c>
      <c r="I25" s="36">
        <f t="shared" si="5"/>
        <v>2</v>
      </c>
      <c r="J25" s="3">
        <v>2</v>
      </c>
      <c r="K25" s="3">
        <v>2</v>
      </c>
      <c r="L25" s="36">
        <f t="shared" si="6"/>
        <v>4</v>
      </c>
      <c r="M25" s="3">
        <v>2</v>
      </c>
      <c r="N25" s="38">
        <f t="shared" si="7"/>
        <v>2</v>
      </c>
      <c r="O25" s="3">
        <v>2</v>
      </c>
      <c r="P25" s="3">
        <v>2</v>
      </c>
      <c r="Q25" s="43">
        <f t="shared" si="0"/>
        <v>4</v>
      </c>
      <c r="R25" s="3">
        <v>2</v>
      </c>
      <c r="S25" s="43">
        <f t="shared" si="1"/>
        <v>2</v>
      </c>
      <c r="T25" s="3">
        <v>2</v>
      </c>
      <c r="U25" s="3">
        <v>2</v>
      </c>
      <c r="V25" s="43">
        <f t="shared" si="2"/>
        <v>4</v>
      </c>
      <c r="Y25" s="22">
        <f t="shared" si="3"/>
        <v>22</v>
      </c>
      <c r="Z25" s="22">
        <f t="shared" si="8"/>
        <v>91.666666666666657</v>
      </c>
    </row>
    <row r="26" spans="1:26" ht="18" x14ac:dyDescent="0.35">
      <c r="A26" s="2">
        <v>21</v>
      </c>
      <c r="B26" s="16" t="s">
        <v>76</v>
      </c>
      <c r="C26" s="20" t="s">
        <v>77</v>
      </c>
      <c r="D26" s="3">
        <v>2</v>
      </c>
      <c r="E26" s="3">
        <v>2</v>
      </c>
      <c r="F26" s="36">
        <f t="shared" si="4"/>
        <v>4</v>
      </c>
      <c r="G26" s="3">
        <v>2</v>
      </c>
      <c r="H26" s="3">
        <v>2</v>
      </c>
      <c r="I26" s="36">
        <f t="shared" si="5"/>
        <v>4</v>
      </c>
      <c r="J26" s="3">
        <v>0</v>
      </c>
      <c r="K26" s="3">
        <v>2</v>
      </c>
      <c r="L26" s="36">
        <f t="shared" si="6"/>
        <v>2</v>
      </c>
      <c r="M26" s="3">
        <v>2</v>
      </c>
      <c r="N26" s="38">
        <f t="shared" si="7"/>
        <v>2</v>
      </c>
      <c r="O26" s="3">
        <v>0</v>
      </c>
      <c r="P26" s="3">
        <v>0</v>
      </c>
      <c r="Q26" s="43">
        <f t="shared" si="0"/>
        <v>0</v>
      </c>
      <c r="R26" s="3">
        <v>2</v>
      </c>
      <c r="S26" s="43">
        <f t="shared" si="1"/>
        <v>2</v>
      </c>
      <c r="T26" s="3">
        <v>2</v>
      </c>
      <c r="U26" s="3">
        <v>2</v>
      </c>
      <c r="V26" s="43">
        <f t="shared" si="2"/>
        <v>4</v>
      </c>
      <c r="Y26" s="22">
        <f t="shared" si="3"/>
        <v>18</v>
      </c>
      <c r="Z26" s="22">
        <f t="shared" si="8"/>
        <v>75</v>
      </c>
    </row>
    <row r="27" spans="1:26" ht="18" x14ac:dyDescent="0.35">
      <c r="A27" s="2">
        <v>22</v>
      </c>
      <c r="B27" s="16" t="s">
        <v>78</v>
      </c>
      <c r="C27" s="20" t="s">
        <v>79</v>
      </c>
      <c r="D27" s="3">
        <v>2</v>
      </c>
      <c r="E27" s="3">
        <v>2</v>
      </c>
      <c r="F27" s="36">
        <f t="shared" si="4"/>
        <v>4</v>
      </c>
      <c r="G27" s="3">
        <v>2</v>
      </c>
      <c r="H27" s="3">
        <v>2</v>
      </c>
      <c r="I27" s="36">
        <f t="shared" si="5"/>
        <v>4</v>
      </c>
      <c r="J27" s="3">
        <v>2</v>
      </c>
      <c r="K27" s="3">
        <v>0</v>
      </c>
      <c r="L27" s="36">
        <f t="shared" si="6"/>
        <v>2</v>
      </c>
      <c r="M27" s="3">
        <v>2</v>
      </c>
      <c r="N27" s="38">
        <f t="shared" si="7"/>
        <v>2</v>
      </c>
      <c r="O27" s="3">
        <v>2</v>
      </c>
      <c r="P27" s="3">
        <v>2</v>
      </c>
      <c r="Q27" s="43">
        <f t="shared" si="0"/>
        <v>4</v>
      </c>
      <c r="R27" s="3">
        <v>2</v>
      </c>
      <c r="S27" s="43">
        <f t="shared" si="1"/>
        <v>2</v>
      </c>
      <c r="T27" s="3">
        <v>2</v>
      </c>
      <c r="U27" s="3">
        <v>2</v>
      </c>
      <c r="V27" s="43">
        <f t="shared" si="2"/>
        <v>4</v>
      </c>
      <c r="Y27" s="22">
        <f t="shared" si="3"/>
        <v>22</v>
      </c>
      <c r="Z27" s="22">
        <f t="shared" si="8"/>
        <v>91.666666666666657</v>
      </c>
    </row>
    <row r="28" spans="1:26" ht="18" x14ac:dyDescent="0.35">
      <c r="A28" s="2">
        <v>23</v>
      </c>
      <c r="B28" s="16" t="s">
        <v>80</v>
      </c>
      <c r="C28" s="20" t="s">
        <v>81</v>
      </c>
      <c r="D28" s="3">
        <v>2</v>
      </c>
      <c r="E28" s="3">
        <v>2</v>
      </c>
      <c r="F28" s="36">
        <f t="shared" si="4"/>
        <v>4</v>
      </c>
      <c r="G28" s="3">
        <v>2</v>
      </c>
      <c r="H28" s="3">
        <v>2</v>
      </c>
      <c r="I28" s="36">
        <f t="shared" si="5"/>
        <v>4</v>
      </c>
      <c r="J28" s="3">
        <v>2</v>
      </c>
      <c r="K28" s="3">
        <v>2</v>
      </c>
      <c r="L28" s="36">
        <f t="shared" si="6"/>
        <v>4</v>
      </c>
      <c r="M28" s="3">
        <v>0</v>
      </c>
      <c r="N28" s="38">
        <f t="shared" si="7"/>
        <v>0</v>
      </c>
      <c r="O28" s="3">
        <v>0</v>
      </c>
      <c r="P28" s="3">
        <v>0</v>
      </c>
      <c r="Q28" s="43">
        <f t="shared" si="0"/>
        <v>0</v>
      </c>
      <c r="R28" s="3">
        <v>2</v>
      </c>
      <c r="S28" s="43">
        <f t="shared" si="1"/>
        <v>2</v>
      </c>
      <c r="T28" s="3">
        <v>2</v>
      </c>
      <c r="U28" s="3">
        <v>2</v>
      </c>
      <c r="V28" s="43">
        <f t="shared" si="2"/>
        <v>4</v>
      </c>
      <c r="Y28" s="22">
        <f t="shared" si="3"/>
        <v>18</v>
      </c>
      <c r="Z28" s="22">
        <f t="shared" si="8"/>
        <v>75</v>
      </c>
    </row>
    <row r="29" spans="1:26" ht="18" x14ac:dyDescent="0.35">
      <c r="A29" s="2">
        <v>24</v>
      </c>
      <c r="B29" s="16" t="s">
        <v>82</v>
      </c>
      <c r="C29" s="20" t="s">
        <v>83</v>
      </c>
      <c r="D29" s="3">
        <v>2</v>
      </c>
      <c r="E29" s="3">
        <v>2</v>
      </c>
      <c r="F29" s="36">
        <f t="shared" si="4"/>
        <v>4</v>
      </c>
      <c r="G29" s="3">
        <v>2</v>
      </c>
      <c r="H29" s="3">
        <v>2</v>
      </c>
      <c r="I29" s="36">
        <f t="shared" si="5"/>
        <v>4</v>
      </c>
      <c r="J29" s="3">
        <v>2</v>
      </c>
      <c r="K29" s="3">
        <v>0</v>
      </c>
      <c r="L29" s="36">
        <f t="shared" si="6"/>
        <v>2</v>
      </c>
      <c r="M29" s="3">
        <v>2</v>
      </c>
      <c r="N29" s="38">
        <f t="shared" si="7"/>
        <v>2</v>
      </c>
      <c r="O29" s="3">
        <v>2</v>
      </c>
      <c r="P29" s="3">
        <v>2</v>
      </c>
      <c r="Q29" s="43">
        <f t="shared" si="0"/>
        <v>4</v>
      </c>
      <c r="R29" s="3">
        <v>2</v>
      </c>
      <c r="S29" s="43">
        <f t="shared" si="1"/>
        <v>2</v>
      </c>
      <c r="T29" s="3">
        <v>2</v>
      </c>
      <c r="U29" s="3">
        <v>2</v>
      </c>
      <c r="V29" s="43">
        <f t="shared" si="2"/>
        <v>4</v>
      </c>
      <c r="Y29" s="22">
        <f t="shared" si="3"/>
        <v>22</v>
      </c>
      <c r="Z29" s="22">
        <f t="shared" si="8"/>
        <v>91.666666666666657</v>
      </c>
    </row>
    <row r="30" spans="1:26" ht="18" x14ac:dyDescent="0.35">
      <c r="A30" s="2">
        <v>25</v>
      </c>
      <c r="B30" s="16" t="s">
        <v>84</v>
      </c>
      <c r="C30" s="20" t="s">
        <v>85</v>
      </c>
      <c r="D30" s="3">
        <v>2</v>
      </c>
      <c r="E30" s="3">
        <v>2</v>
      </c>
      <c r="F30" s="36">
        <f t="shared" si="4"/>
        <v>4</v>
      </c>
      <c r="G30" s="3">
        <v>2</v>
      </c>
      <c r="H30" s="3">
        <v>2</v>
      </c>
      <c r="I30" s="36">
        <f t="shared" si="5"/>
        <v>4</v>
      </c>
      <c r="J30" s="3">
        <v>0</v>
      </c>
      <c r="K30" s="3">
        <v>2</v>
      </c>
      <c r="L30" s="36">
        <f t="shared" si="6"/>
        <v>2</v>
      </c>
      <c r="M30" s="3">
        <v>2</v>
      </c>
      <c r="N30" s="38">
        <f t="shared" si="7"/>
        <v>2</v>
      </c>
      <c r="O30" s="3">
        <v>2</v>
      </c>
      <c r="P30" s="3">
        <v>2</v>
      </c>
      <c r="Q30" s="43">
        <f t="shared" si="0"/>
        <v>4</v>
      </c>
      <c r="R30" s="3">
        <v>2</v>
      </c>
      <c r="S30" s="43">
        <f t="shared" si="1"/>
        <v>2</v>
      </c>
      <c r="T30" s="3">
        <v>2</v>
      </c>
      <c r="U30" s="3">
        <v>2</v>
      </c>
      <c r="V30" s="43">
        <f t="shared" si="2"/>
        <v>4</v>
      </c>
      <c r="Y30" s="22">
        <f t="shared" si="3"/>
        <v>22</v>
      </c>
      <c r="Z30" s="22">
        <f t="shared" si="8"/>
        <v>91.666666666666657</v>
      </c>
    </row>
    <row r="31" spans="1:26" ht="18" x14ac:dyDescent="0.35">
      <c r="A31" s="2">
        <v>26</v>
      </c>
      <c r="B31" s="16" t="s">
        <v>86</v>
      </c>
      <c r="C31" s="20" t="s">
        <v>87</v>
      </c>
      <c r="D31" s="3">
        <v>2</v>
      </c>
      <c r="E31" s="3">
        <v>2</v>
      </c>
      <c r="F31" s="36">
        <f t="shared" si="4"/>
        <v>4</v>
      </c>
      <c r="G31" s="3">
        <v>2</v>
      </c>
      <c r="H31" s="3">
        <v>0</v>
      </c>
      <c r="I31" s="36">
        <f t="shared" si="5"/>
        <v>2</v>
      </c>
      <c r="J31" s="3">
        <v>2</v>
      </c>
      <c r="K31" s="3">
        <v>2</v>
      </c>
      <c r="L31" s="36">
        <f t="shared" si="6"/>
        <v>4</v>
      </c>
      <c r="M31" s="3">
        <v>2</v>
      </c>
      <c r="N31" s="38">
        <f t="shared" si="7"/>
        <v>2</v>
      </c>
      <c r="O31" s="3">
        <v>0</v>
      </c>
      <c r="P31" s="3">
        <v>0</v>
      </c>
      <c r="Q31" s="43">
        <f t="shared" si="0"/>
        <v>0</v>
      </c>
      <c r="R31" s="3">
        <v>2</v>
      </c>
      <c r="S31" s="43">
        <f t="shared" si="1"/>
        <v>2</v>
      </c>
      <c r="T31" s="3">
        <v>2</v>
      </c>
      <c r="U31" s="3">
        <v>2</v>
      </c>
      <c r="V31" s="43">
        <f t="shared" si="2"/>
        <v>4</v>
      </c>
      <c r="Y31" s="22">
        <f t="shared" si="3"/>
        <v>18</v>
      </c>
      <c r="Z31" s="22">
        <f t="shared" si="8"/>
        <v>75</v>
      </c>
    </row>
    <row r="32" spans="1:26" ht="18" x14ac:dyDescent="0.35">
      <c r="A32" s="2">
        <v>27</v>
      </c>
      <c r="B32" s="16" t="s">
        <v>88</v>
      </c>
      <c r="C32" s="20" t="s">
        <v>89</v>
      </c>
      <c r="D32" s="3">
        <v>2</v>
      </c>
      <c r="E32" s="3">
        <v>2</v>
      </c>
      <c r="F32" s="36">
        <f t="shared" si="4"/>
        <v>4</v>
      </c>
      <c r="G32" s="3">
        <v>0</v>
      </c>
      <c r="H32" s="3">
        <v>2</v>
      </c>
      <c r="I32" s="36">
        <f t="shared" si="5"/>
        <v>2</v>
      </c>
      <c r="J32" s="3">
        <v>2</v>
      </c>
      <c r="K32" s="3">
        <v>2</v>
      </c>
      <c r="L32" s="36">
        <f t="shared" si="6"/>
        <v>4</v>
      </c>
      <c r="M32" s="3">
        <v>2</v>
      </c>
      <c r="N32" s="38">
        <f t="shared" si="7"/>
        <v>2</v>
      </c>
      <c r="O32" s="3">
        <v>2</v>
      </c>
      <c r="P32" s="3">
        <v>2</v>
      </c>
      <c r="Q32" s="43">
        <f t="shared" si="0"/>
        <v>4</v>
      </c>
      <c r="R32" s="3">
        <v>2</v>
      </c>
      <c r="S32" s="43">
        <f t="shared" si="1"/>
        <v>2</v>
      </c>
      <c r="T32" s="3">
        <v>2</v>
      </c>
      <c r="U32" s="3">
        <v>2</v>
      </c>
      <c r="V32" s="43">
        <f t="shared" si="2"/>
        <v>4</v>
      </c>
      <c r="Y32" s="22">
        <f t="shared" si="3"/>
        <v>22</v>
      </c>
      <c r="Z32" s="22">
        <f t="shared" si="8"/>
        <v>91.666666666666657</v>
      </c>
    </row>
    <row r="33" spans="1:26" ht="18" x14ac:dyDescent="0.35">
      <c r="A33" s="2">
        <v>28</v>
      </c>
      <c r="B33" s="16" t="s">
        <v>90</v>
      </c>
      <c r="C33" s="20" t="s">
        <v>91</v>
      </c>
      <c r="D33" s="3">
        <v>2</v>
      </c>
      <c r="E33" s="3">
        <v>0</v>
      </c>
      <c r="F33" s="36">
        <f t="shared" si="4"/>
        <v>2</v>
      </c>
      <c r="G33" s="3">
        <v>2</v>
      </c>
      <c r="H33" s="3">
        <v>2</v>
      </c>
      <c r="I33" s="36">
        <f t="shared" si="5"/>
        <v>4</v>
      </c>
      <c r="J33" s="3">
        <v>2</v>
      </c>
      <c r="K33" s="3">
        <v>2</v>
      </c>
      <c r="L33" s="36">
        <f t="shared" si="6"/>
        <v>4</v>
      </c>
      <c r="M33" s="3">
        <v>2</v>
      </c>
      <c r="N33" s="38">
        <f t="shared" si="7"/>
        <v>2</v>
      </c>
      <c r="O33" s="3">
        <v>2</v>
      </c>
      <c r="P33" s="3">
        <v>2</v>
      </c>
      <c r="Q33" s="43">
        <f t="shared" si="0"/>
        <v>4</v>
      </c>
      <c r="R33" s="3">
        <v>2</v>
      </c>
      <c r="S33" s="43">
        <f t="shared" si="1"/>
        <v>2</v>
      </c>
      <c r="T33" s="3">
        <v>2</v>
      </c>
      <c r="U33" s="3">
        <v>2</v>
      </c>
      <c r="V33" s="43">
        <f t="shared" si="2"/>
        <v>4</v>
      </c>
      <c r="Y33" s="22">
        <f t="shared" si="3"/>
        <v>22</v>
      </c>
      <c r="Z33" s="22">
        <f t="shared" si="8"/>
        <v>91.666666666666657</v>
      </c>
    </row>
    <row r="34" spans="1:26" ht="18" x14ac:dyDescent="0.35">
      <c r="A34" s="2">
        <v>29</v>
      </c>
      <c r="B34" s="16" t="s">
        <v>92</v>
      </c>
      <c r="C34" s="20" t="s">
        <v>93</v>
      </c>
      <c r="D34" s="3">
        <v>0</v>
      </c>
      <c r="E34" s="3">
        <v>2</v>
      </c>
      <c r="F34" s="36">
        <f t="shared" si="4"/>
        <v>2</v>
      </c>
      <c r="G34" s="3">
        <v>2</v>
      </c>
      <c r="H34" s="3">
        <v>2</v>
      </c>
      <c r="I34" s="36">
        <f t="shared" si="5"/>
        <v>4</v>
      </c>
      <c r="J34" s="3">
        <v>2</v>
      </c>
      <c r="K34" s="3">
        <v>2</v>
      </c>
      <c r="L34" s="36">
        <f t="shared" si="6"/>
        <v>4</v>
      </c>
      <c r="M34" s="3">
        <v>2</v>
      </c>
      <c r="N34" s="38">
        <f t="shared" si="7"/>
        <v>2</v>
      </c>
      <c r="O34" s="3">
        <v>0</v>
      </c>
      <c r="P34" s="3">
        <v>0</v>
      </c>
      <c r="Q34" s="43">
        <f t="shared" si="0"/>
        <v>0</v>
      </c>
      <c r="R34" s="3">
        <v>2</v>
      </c>
      <c r="S34" s="43">
        <f t="shared" si="1"/>
        <v>2</v>
      </c>
      <c r="T34" s="3">
        <v>2</v>
      </c>
      <c r="U34" s="3">
        <v>2</v>
      </c>
      <c r="V34" s="43">
        <f t="shared" si="2"/>
        <v>4</v>
      </c>
      <c r="Y34" s="22">
        <f t="shared" si="3"/>
        <v>18</v>
      </c>
      <c r="Z34" s="22">
        <f t="shared" si="8"/>
        <v>75</v>
      </c>
    </row>
    <row r="35" spans="1:26" ht="18" x14ac:dyDescent="0.35">
      <c r="A35" s="2">
        <v>30</v>
      </c>
      <c r="B35" s="16" t="s">
        <v>94</v>
      </c>
      <c r="C35" s="20" t="s">
        <v>95</v>
      </c>
      <c r="D35" s="3">
        <v>2</v>
      </c>
      <c r="E35" s="3">
        <v>2</v>
      </c>
      <c r="F35" s="36">
        <f t="shared" si="4"/>
        <v>4</v>
      </c>
      <c r="G35" s="3">
        <v>2</v>
      </c>
      <c r="H35" s="3">
        <v>2</v>
      </c>
      <c r="I35" s="36">
        <f t="shared" si="5"/>
        <v>4</v>
      </c>
      <c r="J35" s="3">
        <v>2</v>
      </c>
      <c r="K35" s="3">
        <v>2</v>
      </c>
      <c r="L35" s="36">
        <f t="shared" si="6"/>
        <v>4</v>
      </c>
      <c r="M35" s="3">
        <v>2</v>
      </c>
      <c r="N35" s="38">
        <f t="shared" si="7"/>
        <v>2</v>
      </c>
      <c r="O35" s="3">
        <v>0</v>
      </c>
      <c r="P35" s="3">
        <v>0</v>
      </c>
      <c r="Q35" s="43">
        <f t="shared" si="0"/>
        <v>0</v>
      </c>
      <c r="R35" s="3">
        <v>2</v>
      </c>
      <c r="S35" s="43">
        <f t="shared" si="1"/>
        <v>2</v>
      </c>
      <c r="T35" s="3">
        <v>2</v>
      </c>
      <c r="U35" s="3">
        <v>2</v>
      </c>
      <c r="V35" s="43">
        <f t="shared" si="2"/>
        <v>4</v>
      </c>
      <c r="Y35" s="22">
        <f t="shared" si="3"/>
        <v>20</v>
      </c>
      <c r="Z35" s="22">
        <f t="shared" si="8"/>
        <v>83.333333333333343</v>
      </c>
    </row>
    <row r="36" spans="1:26" ht="18" x14ac:dyDescent="0.35">
      <c r="A36" s="2">
        <v>31</v>
      </c>
      <c r="B36" s="16" t="s">
        <v>96</v>
      </c>
      <c r="C36" s="20" t="s">
        <v>97</v>
      </c>
      <c r="D36" s="3">
        <v>2</v>
      </c>
      <c r="E36" s="3">
        <v>2</v>
      </c>
      <c r="F36" s="36">
        <f t="shared" si="4"/>
        <v>4</v>
      </c>
      <c r="G36" s="3">
        <v>2</v>
      </c>
      <c r="H36" s="3">
        <v>2</v>
      </c>
      <c r="I36" s="36">
        <f t="shared" si="5"/>
        <v>4</v>
      </c>
      <c r="J36" s="3">
        <v>2</v>
      </c>
      <c r="K36" s="3">
        <v>2</v>
      </c>
      <c r="L36" s="36">
        <f t="shared" si="6"/>
        <v>4</v>
      </c>
      <c r="M36" s="3">
        <v>2</v>
      </c>
      <c r="N36" s="38">
        <f t="shared" si="7"/>
        <v>2</v>
      </c>
      <c r="O36" s="3">
        <v>0</v>
      </c>
      <c r="P36" s="3">
        <v>0</v>
      </c>
      <c r="Q36" s="43">
        <f t="shared" si="0"/>
        <v>0</v>
      </c>
      <c r="R36" s="3">
        <v>2</v>
      </c>
      <c r="S36" s="43">
        <f t="shared" si="1"/>
        <v>2</v>
      </c>
      <c r="T36" s="3">
        <v>2</v>
      </c>
      <c r="U36" s="3">
        <v>2</v>
      </c>
      <c r="V36" s="43">
        <f t="shared" si="2"/>
        <v>4</v>
      </c>
      <c r="Y36" s="22">
        <f t="shared" si="3"/>
        <v>20</v>
      </c>
      <c r="Z36" s="22">
        <f t="shared" si="8"/>
        <v>83.333333333333343</v>
      </c>
    </row>
    <row r="37" spans="1:26" ht="18" x14ac:dyDescent="0.35">
      <c r="A37" s="2">
        <v>32</v>
      </c>
      <c r="B37" s="16" t="s">
        <v>98</v>
      </c>
      <c r="C37" s="20" t="s">
        <v>99</v>
      </c>
      <c r="D37" s="3">
        <v>2</v>
      </c>
      <c r="E37" s="3">
        <v>2</v>
      </c>
      <c r="F37" s="36">
        <f t="shared" si="4"/>
        <v>4</v>
      </c>
      <c r="G37" s="3">
        <v>2</v>
      </c>
      <c r="H37" s="3">
        <v>2</v>
      </c>
      <c r="I37" s="36">
        <f t="shared" si="5"/>
        <v>4</v>
      </c>
      <c r="J37" s="3">
        <v>2</v>
      </c>
      <c r="K37" s="3">
        <v>2</v>
      </c>
      <c r="L37" s="36">
        <f t="shared" si="6"/>
        <v>4</v>
      </c>
      <c r="M37" s="3">
        <v>2</v>
      </c>
      <c r="N37" s="38">
        <f t="shared" si="7"/>
        <v>2</v>
      </c>
      <c r="O37" s="3">
        <v>0</v>
      </c>
      <c r="P37" s="3">
        <v>0</v>
      </c>
      <c r="Q37" s="43">
        <f t="shared" ref="Q37:Q68" si="9">SUM(O37:P37)</f>
        <v>0</v>
      </c>
      <c r="R37" s="3">
        <v>2</v>
      </c>
      <c r="S37" s="43">
        <f t="shared" ref="S37:S68" si="10">SUM(R37:R37)</f>
        <v>2</v>
      </c>
      <c r="T37" s="3">
        <v>2</v>
      </c>
      <c r="U37" s="3">
        <v>2</v>
      </c>
      <c r="V37" s="43">
        <f t="shared" ref="V37:V68" si="11">SUM(T37:U37)</f>
        <v>4</v>
      </c>
      <c r="Y37" s="22">
        <f t="shared" ref="Y37:Y70" si="12">F37+I37+L37+N37+Q37+S37+V37</f>
        <v>20</v>
      </c>
      <c r="Z37" s="22">
        <f t="shared" si="8"/>
        <v>83.333333333333343</v>
      </c>
    </row>
    <row r="38" spans="1:26" ht="18" x14ac:dyDescent="0.35">
      <c r="A38" s="2">
        <v>33</v>
      </c>
      <c r="B38" s="16" t="s">
        <v>100</v>
      </c>
      <c r="C38" s="20" t="s">
        <v>101</v>
      </c>
      <c r="D38" s="3">
        <v>2</v>
      </c>
      <c r="E38" s="3">
        <v>0</v>
      </c>
      <c r="F38" s="36">
        <f t="shared" si="4"/>
        <v>2</v>
      </c>
      <c r="G38" s="3">
        <v>2</v>
      </c>
      <c r="H38" s="3">
        <v>2</v>
      </c>
      <c r="I38" s="36">
        <f t="shared" si="5"/>
        <v>4</v>
      </c>
      <c r="J38" s="3">
        <v>2</v>
      </c>
      <c r="K38" s="3">
        <v>2</v>
      </c>
      <c r="L38" s="36">
        <f t="shared" si="6"/>
        <v>4</v>
      </c>
      <c r="M38" s="3">
        <v>2</v>
      </c>
      <c r="N38" s="38">
        <f t="shared" si="7"/>
        <v>2</v>
      </c>
      <c r="O38" s="3">
        <v>2</v>
      </c>
      <c r="P38" s="3">
        <v>2</v>
      </c>
      <c r="Q38" s="43">
        <f t="shared" si="9"/>
        <v>4</v>
      </c>
      <c r="R38" s="3">
        <v>2</v>
      </c>
      <c r="S38" s="43">
        <f t="shared" si="10"/>
        <v>2</v>
      </c>
      <c r="T38" s="3">
        <v>2</v>
      </c>
      <c r="U38" s="3">
        <v>2</v>
      </c>
      <c r="V38" s="43">
        <f t="shared" si="11"/>
        <v>4</v>
      </c>
      <c r="Y38" s="22">
        <f t="shared" si="12"/>
        <v>22</v>
      </c>
      <c r="Z38" s="22">
        <f t="shared" si="8"/>
        <v>91.666666666666657</v>
      </c>
    </row>
    <row r="39" spans="1:26" ht="18" x14ac:dyDescent="0.35">
      <c r="A39" s="2">
        <v>34</v>
      </c>
      <c r="B39" s="16" t="s">
        <v>102</v>
      </c>
      <c r="C39" s="20" t="s">
        <v>103</v>
      </c>
      <c r="D39" s="3">
        <v>2</v>
      </c>
      <c r="E39" s="3">
        <v>2</v>
      </c>
      <c r="F39" s="36">
        <f t="shared" si="4"/>
        <v>4</v>
      </c>
      <c r="G39" s="3">
        <v>0</v>
      </c>
      <c r="H39" s="3">
        <v>2</v>
      </c>
      <c r="I39" s="36">
        <f t="shared" si="5"/>
        <v>2</v>
      </c>
      <c r="J39" s="3">
        <v>2</v>
      </c>
      <c r="K39" s="3">
        <v>2</v>
      </c>
      <c r="L39" s="36">
        <f t="shared" si="6"/>
        <v>4</v>
      </c>
      <c r="M39" s="3">
        <v>2</v>
      </c>
      <c r="N39" s="38">
        <f t="shared" si="7"/>
        <v>2</v>
      </c>
      <c r="O39" s="3">
        <v>0</v>
      </c>
      <c r="P39" s="3">
        <v>0</v>
      </c>
      <c r="Q39" s="43">
        <f t="shared" si="9"/>
        <v>0</v>
      </c>
      <c r="R39" s="3">
        <v>2</v>
      </c>
      <c r="S39" s="43">
        <f t="shared" si="10"/>
        <v>2</v>
      </c>
      <c r="T39" s="3">
        <v>2</v>
      </c>
      <c r="U39" s="3">
        <v>2</v>
      </c>
      <c r="V39" s="43">
        <f t="shared" si="11"/>
        <v>4</v>
      </c>
      <c r="Y39" s="22">
        <f t="shared" si="12"/>
        <v>18</v>
      </c>
      <c r="Z39" s="22">
        <f t="shared" si="8"/>
        <v>75</v>
      </c>
    </row>
    <row r="40" spans="1:26" ht="18" x14ac:dyDescent="0.35">
      <c r="A40" s="2">
        <v>35</v>
      </c>
      <c r="B40" s="16" t="s">
        <v>104</v>
      </c>
      <c r="C40" s="20" t="s">
        <v>105</v>
      </c>
      <c r="D40" s="3">
        <v>2</v>
      </c>
      <c r="E40" s="3">
        <v>2</v>
      </c>
      <c r="F40" s="36">
        <f t="shared" si="4"/>
        <v>4</v>
      </c>
      <c r="G40" s="3">
        <v>2</v>
      </c>
      <c r="H40" s="3">
        <v>0</v>
      </c>
      <c r="I40" s="36">
        <f t="shared" si="5"/>
        <v>2</v>
      </c>
      <c r="J40" s="3">
        <v>2</v>
      </c>
      <c r="K40" s="3">
        <v>2</v>
      </c>
      <c r="L40" s="36">
        <f t="shared" si="6"/>
        <v>4</v>
      </c>
      <c r="M40" s="3">
        <v>2</v>
      </c>
      <c r="N40" s="38">
        <f t="shared" si="7"/>
        <v>2</v>
      </c>
      <c r="O40" s="3">
        <v>2</v>
      </c>
      <c r="P40" s="3">
        <v>2</v>
      </c>
      <c r="Q40" s="43">
        <f t="shared" si="9"/>
        <v>4</v>
      </c>
      <c r="R40" s="3">
        <v>2</v>
      </c>
      <c r="S40" s="43">
        <f t="shared" si="10"/>
        <v>2</v>
      </c>
      <c r="T40" s="3">
        <v>2</v>
      </c>
      <c r="U40" s="3">
        <v>2</v>
      </c>
      <c r="V40" s="43">
        <f t="shared" si="11"/>
        <v>4</v>
      </c>
      <c r="Y40" s="22">
        <f t="shared" si="12"/>
        <v>22</v>
      </c>
      <c r="Z40" s="22">
        <f t="shared" si="8"/>
        <v>91.666666666666657</v>
      </c>
    </row>
    <row r="41" spans="1:26" ht="18" x14ac:dyDescent="0.35">
      <c r="A41" s="2">
        <v>36</v>
      </c>
      <c r="B41" s="16" t="s">
        <v>106</v>
      </c>
      <c r="C41" s="20" t="s">
        <v>107</v>
      </c>
      <c r="D41" s="3">
        <v>2</v>
      </c>
      <c r="E41" s="3">
        <v>2</v>
      </c>
      <c r="F41" s="36">
        <f t="shared" si="4"/>
        <v>4</v>
      </c>
      <c r="G41" s="3">
        <v>2</v>
      </c>
      <c r="H41" s="3">
        <v>2</v>
      </c>
      <c r="I41" s="36">
        <f t="shared" si="5"/>
        <v>4</v>
      </c>
      <c r="J41" s="3">
        <v>0</v>
      </c>
      <c r="K41" s="3">
        <v>2</v>
      </c>
      <c r="L41" s="36">
        <f t="shared" si="6"/>
        <v>2</v>
      </c>
      <c r="M41" s="3">
        <v>2</v>
      </c>
      <c r="N41" s="38">
        <f t="shared" si="7"/>
        <v>2</v>
      </c>
      <c r="O41" s="3">
        <v>0</v>
      </c>
      <c r="P41" s="3">
        <v>0</v>
      </c>
      <c r="Q41" s="43">
        <f t="shared" si="9"/>
        <v>0</v>
      </c>
      <c r="R41" s="3">
        <v>2</v>
      </c>
      <c r="S41" s="43">
        <f t="shared" si="10"/>
        <v>2</v>
      </c>
      <c r="T41" s="3">
        <v>2</v>
      </c>
      <c r="U41" s="3">
        <v>2</v>
      </c>
      <c r="V41" s="43">
        <f t="shared" si="11"/>
        <v>4</v>
      </c>
      <c r="Y41" s="22">
        <f t="shared" si="12"/>
        <v>18</v>
      </c>
      <c r="Z41" s="22">
        <f t="shared" si="8"/>
        <v>75</v>
      </c>
    </row>
    <row r="42" spans="1:26" ht="18" x14ac:dyDescent="0.35">
      <c r="A42" s="2">
        <v>37</v>
      </c>
      <c r="B42" s="16" t="s">
        <v>108</v>
      </c>
      <c r="C42" s="20" t="s">
        <v>109</v>
      </c>
      <c r="D42" s="3">
        <v>2</v>
      </c>
      <c r="E42" s="3">
        <v>2</v>
      </c>
      <c r="F42" s="36">
        <f t="shared" si="4"/>
        <v>4</v>
      </c>
      <c r="G42" s="3">
        <v>2</v>
      </c>
      <c r="H42" s="3">
        <v>2</v>
      </c>
      <c r="I42" s="36">
        <f t="shared" si="5"/>
        <v>4</v>
      </c>
      <c r="J42" s="3">
        <v>2</v>
      </c>
      <c r="K42" s="3">
        <v>0</v>
      </c>
      <c r="L42" s="36">
        <f t="shared" si="6"/>
        <v>2</v>
      </c>
      <c r="M42" s="3">
        <v>2</v>
      </c>
      <c r="N42" s="38">
        <f t="shared" si="7"/>
        <v>2</v>
      </c>
      <c r="O42" s="3">
        <v>0</v>
      </c>
      <c r="P42" s="3">
        <v>0</v>
      </c>
      <c r="Q42" s="43">
        <f t="shared" si="9"/>
        <v>0</v>
      </c>
      <c r="R42" s="3">
        <v>2</v>
      </c>
      <c r="S42" s="43">
        <f t="shared" si="10"/>
        <v>2</v>
      </c>
      <c r="T42" s="3">
        <v>2</v>
      </c>
      <c r="U42" s="3">
        <v>2</v>
      </c>
      <c r="V42" s="43">
        <f t="shared" si="11"/>
        <v>4</v>
      </c>
      <c r="Y42" s="22">
        <f t="shared" si="12"/>
        <v>18</v>
      </c>
      <c r="Z42" s="22">
        <f t="shared" si="8"/>
        <v>75</v>
      </c>
    </row>
    <row r="43" spans="1:26" ht="18" x14ac:dyDescent="0.35">
      <c r="A43" s="2">
        <v>38</v>
      </c>
      <c r="B43" s="16" t="s">
        <v>110</v>
      </c>
      <c r="C43" s="20" t="s">
        <v>111</v>
      </c>
      <c r="D43" s="3">
        <v>2</v>
      </c>
      <c r="E43" s="3">
        <v>2</v>
      </c>
      <c r="F43" s="36">
        <f t="shared" si="4"/>
        <v>4</v>
      </c>
      <c r="G43" s="3">
        <v>2</v>
      </c>
      <c r="H43" s="3">
        <v>2</v>
      </c>
      <c r="I43" s="36">
        <f t="shared" si="5"/>
        <v>4</v>
      </c>
      <c r="J43" s="3">
        <v>2</v>
      </c>
      <c r="K43" s="3">
        <v>2</v>
      </c>
      <c r="L43" s="36">
        <f t="shared" si="6"/>
        <v>4</v>
      </c>
      <c r="M43" s="3">
        <v>0</v>
      </c>
      <c r="N43" s="38">
        <f t="shared" si="7"/>
        <v>0</v>
      </c>
      <c r="O43" s="3">
        <v>2</v>
      </c>
      <c r="P43" s="3">
        <v>2</v>
      </c>
      <c r="Q43" s="43">
        <f t="shared" si="9"/>
        <v>4</v>
      </c>
      <c r="R43" s="3">
        <v>2</v>
      </c>
      <c r="S43" s="43">
        <f t="shared" si="10"/>
        <v>2</v>
      </c>
      <c r="T43" s="3">
        <v>2</v>
      </c>
      <c r="U43" s="3">
        <v>2</v>
      </c>
      <c r="V43" s="43">
        <f t="shared" si="11"/>
        <v>4</v>
      </c>
      <c r="Y43" s="22">
        <f t="shared" si="12"/>
        <v>22</v>
      </c>
      <c r="Z43" s="22">
        <f t="shared" si="8"/>
        <v>91.666666666666657</v>
      </c>
    </row>
    <row r="44" spans="1:26" ht="18" x14ac:dyDescent="0.35">
      <c r="A44" s="2">
        <v>39</v>
      </c>
      <c r="B44" s="16" t="s">
        <v>112</v>
      </c>
      <c r="C44" s="20" t="s">
        <v>113</v>
      </c>
      <c r="D44" s="3">
        <v>2</v>
      </c>
      <c r="E44" s="3">
        <v>2</v>
      </c>
      <c r="F44" s="36">
        <f t="shared" si="4"/>
        <v>4</v>
      </c>
      <c r="G44" s="3">
        <v>2</v>
      </c>
      <c r="H44" s="3">
        <v>2</v>
      </c>
      <c r="I44" s="36">
        <f t="shared" si="5"/>
        <v>4</v>
      </c>
      <c r="J44" s="3">
        <v>2</v>
      </c>
      <c r="K44" s="3">
        <v>2</v>
      </c>
      <c r="L44" s="36">
        <f t="shared" si="6"/>
        <v>4</v>
      </c>
      <c r="M44" s="3">
        <v>0</v>
      </c>
      <c r="N44" s="38">
        <f t="shared" si="7"/>
        <v>0</v>
      </c>
      <c r="O44" s="3">
        <v>2</v>
      </c>
      <c r="P44" s="3">
        <v>2</v>
      </c>
      <c r="Q44" s="43">
        <f t="shared" si="9"/>
        <v>4</v>
      </c>
      <c r="R44" s="3">
        <v>2</v>
      </c>
      <c r="S44" s="43">
        <f t="shared" si="10"/>
        <v>2</v>
      </c>
      <c r="T44" s="3">
        <v>2</v>
      </c>
      <c r="U44" s="3">
        <v>2</v>
      </c>
      <c r="V44" s="43">
        <f t="shared" si="11"/>
        <v>4</v>
      </c>
      <c r="Y44" s="22">
        <f t="shared" si="12"/>
        <v>22</v>
      </c>
      <c r="Z44" s="22">
        <f t="shared" si="8"/>
        <v>91.666666666666657</v>
      </c>
    </row>
    <row r="45" spans="1:26" ht="18" x14ac:dyDescent="0.35">
      <c r="A45" s="2">
        <v>40</v>
      </c>
      <c r="B45" s="16" t="s">
        <v>114</v>
      </c>
      <c r="C45" s="20" t="s">
        <v>115</v>
      </c>
      <c r="D45" s="3">
        <v>2</v>
      </c>
      <c r="E45" s="3">
        <v>2</v>
      </c>
      <c r="F45" s="36">
        <f t="shared" si="4"/>
        <v>4</v>
      </c>
      <c r="G45" s="3">
        <v>2</v>
      </c>
      <c r="H45" s="3">
        <v>2</v>
      </c>
      <c r="I45" s="36">
        <f t="shared" si="5"/>
        <v>4</v>
      </c>
      <c r="J45" s="3">
        <v>2</v>
      </c>
      <c r="K45" s="3">
        <v>0</v>
      </c>
      <c r="L45" s="36">
        <f t="shared" si="6"/>
        <v>2</v>
      </c>
      <c r="M45" s="3">
        <v>2</v>
      </c>
      <c r="N45" s="38">
        <f t="shared" si="7"/>
        <v>2</v>
      </c>
      <c r="O45" s="3">
        <v>2</v>
      </c>
      <c r="P45" s="3">
        <v>2</v>
      </c>
      <c r="Q45" s="43">
        <f t="shared" si="9"/>
        <v>4</v>
      </c>
      <c r="R45" s="3">
        <v>2</v>
      </c>
      <c r="S45" s="43">
        <f t="shared" si="10"/>
        <v>2</v>
      </c>
      <c r="T45" s="3">
        <v>2</v>
      </c>
      <c r="U45" s="3">
        <v>2</v>
      </c>
      <c r="V45" s="43">
        <f t="shared" si="11"/>
        <v>4</v>
      </c>
      <c r="Y45" s="22">
        <f t="shared" si="12"/>
        <v>22</v>
      </c>
      <c r="Z45" s="22">
        <f t="shared" si="8"/>
        <v>91.666666666666657</v>
      </c>
    </row>
    <row r="46" spans="1:26" ht="18" x14ac:dyDescent="0.35">
      <c r="A46" s="2">
        <v>41</v>
      </c>
      <c r="B46" s="16" t="s">
        <v>116</v>
      </c>
      <c r="C46" s="20" t="s">
        <v>117</v>
      </c>
      <c r="D46" s="3">
        <v>2</v>
      </c>
      <c r="E46" s="3">
        <v>2</v>
      </c>
      <c r="F46" s="36">
        <f t="shared" si="4"/>
        <v>4</v>
      </c>
      <c r="G46" s="3">
        <v>2</v>
      </c>
      <c r="H46" s="3">
        <v>2</v>
      </c>
      <c r="I46" s="36">
        <f t="shared" si="5"/>
        <v>4</v>
      </c>
      <c r="J46" s="3">
        <v>0</v>
      </c>
      <c r="K46" s="3">
        <v>2</v>
      </c>
      <c r="L46" s="36">
        <f t="shared" si="6"/>
        <v>2</v>
      </c>
      <c r="M46" s="3">
        <v>2</v>
      </c>
      <c r="N46" s="38">
        <f t="shared" si="7"/>
        <v>2</v>
      </c>
      <c r="O46" s="3">
        <v>0</v>
      </c>
      <c r="P46" s="3">
        <v>0</v>
      </c>
      <c r="Q46" s="43">
        <f t="shared" si="9"/>
        <v>0</v>
      </c>
      <c r="R46" s="3">
        <v>2</v>
      </c>
      <c r="S46" s="43">
        <f t="shared" si="10"/>
        <v>2</v>
      </c>
      <c r="T46" s="3">
        <v>2</v>
      </c>
      <c r="U46" s="3">
        <v>2</v>
      </c>
      <c r="V46" s="43">
        <f t="shared" si="11"/>
        <v>4</v>
      </c>
      <c r="Y46" s="22">
        <f t="shared" si="12"/>
        <v>18</v>
      </c>
      <c r="Z46" s="22">
        <f t="shared" si="8"/>
        <v>75</v>
      </c>
    </row>
    <row r="47" spans="1:26" ht="18" x14ac:dyDescent="0.35">
      <c r="A47" s="2">
        <v>42</v>
      </c>
      <c r="B47" s="16" t="s">
        <v>118</v>
      </c>
      <c r="C47" s="20" t="s">
        <v>119</v>
      </c>
      <c r="D47" s="3">
        <v>2</v>
      </c>
      <c r="E47" s="3">
        <v>2</v>
      </c>
      <c r="F47" s="36">
        <f t="shared" si="4"/>
        <v>4</v>
      </c>
      <c r="G47" s="3">
        <v>2</v>
      </c>
      <c r="H47" s="3">
        <v>0</v>
      </c>
      <c r="I47" s="36">
        <f t="shared" si="5"/>
        <v>2</v>
      </c>
      <c r="J47" s="3">
        <v>2</v>
      </c>
      <c r="K47" s="3">
        <v>2</v>
      </c>
      <c r="L47" s="36">
        <f t="shared" si="6"/>
        <v>4</v>
      </c>
      <c r="M47" s="3">
        <v>2</v>
      </c>
      <c r="N47" s="38">
        <f t="shared" si="7"/>
        <v>2</v>
      </c>
      <c r="O47" s="3">
        <v>2</v>
      </c>
      <c r="P47" s="3">
        <v>2</v>
      </c>
      <c r="Q47" s="43">
        <f t="shared" si="9"/>
        <v>4</v>
      </c>
      <c r="R47" s="3">
        <v>2</v>
      </c>
      <c r="S47" s="43">
        <f t="shared" si="10"/>
        <v>2</v>
      </c>
      <c r="T47" s="3">
        <v>2</v>
      </c>
      <c r="U47" s="3">
        <v>2</v>
      </c>
      <c r="V47" s="43">
        <f t="shared" si="11"/>
        <v>4</v>
      </c>
      <c r="Y47" s="22">
        <f t="shared" si="12"/>
        <v>22</v>
      </c>
      <c r="Z47" s="22">
        <f t="shared" si="8"/>
        <v>91.666666666666657</v>
      </c>
    </row>
    <row r="48" spans="1:26" ht="18" x14ac:dyDescent="0.35">
      <c r="A48" s="2">
        <v>43</v>
      </c>
      <c r="B48" s="16" t="s">
        <v>120</v>
      </c>
      <c r="C48" s="20" t="s">
        <v>121</v>
      </c>
      <c r="D48" s="3">
        <v>2</v>
      </c>
      <c r="E48" s="3">
        <v>2</v>
      </c>
      <c r="F48" s="36">
        <f t="shared" si="4"/>
        <v>4</v>
      </c>
      <c r="G48" s="3">
        <v>0</v>
      </c>
      <c r="H48" s="3">
        <v>2</v>
      </c>
      <c r="I48" s="36">
        <f t="shared" si="5"/>
        <v>2</v>
      </c>
      <c r="J48" s="3">
        <v>2</v>
      </c>
      <c r="K48" s="3">
        <v>2</v>
      </c>
      <c r="L48" s="36">
        <f t="shared" si="6"/>
        <v>4</v>
      </c>
      <c r="M48" s="3">
        <v>2</v>
      </c>
      <c r="N48" s="38">
        <f t="shared" si="7"/>
        <v>2</v>
      </c>
      <c r="O48" s="3">
        <v>2</v>
      </c>
      <c r="P48" s="3">
        <v>2</v>
      </c>
      <c r="Q48" s="43">
        <f t="shared" si="9"/>
        <v>4</v>
      </c>
      <c r="R48" s="3">
        <v>2</v>
      </c>
      <c r="S48" s="43">
        <f t="shared" si="10"/>
        <v>2</v>
      </c>
      <c r="T48" s="3">
        <v>2</v>
      </c>
      <c r="U48" s="3">
        <v>2</v>
      </c>
      <c r="V48" s="43">
        <f t="shared" si="11"/>
        <v>4</v>
      </c>
      <c r="Y48" s="22">
        <f t="shared" si="12"/>
        <v>22</v>
      </c>
      <c r="Z48" s="22">
        <f t="shared" si="8"/>
        <v>91.666666666666657</v>
      </c>
    </row>
    <row r="49" spans="1:26" ht="18" x14ac:dyDescent="0.35">
      <c r="A49" s="2">
        <v>44</v>
      </c>
      <c r="B49" s="16" t="s">
        <v>122</v>
      </c>
      <c r="C49" s="20" t="s">
        <v>123</v>
      </c>
      <c r="D49" s="3">
        <v>2</v>
      </c>
      <c r="E49" s="3">
        <v>0</v>
      </c>
      <c r="F49" s="36">
        <f t="shared" si="4"/>
        <v>2</v>
      </c>
      <c r="G49" s="3">
        <v>2</v>
      </c>
      <c r="H49" s="3">
        <v>2</v>
      </c>
      <c r="I49" s="36">
        <f t="shared" si="5"/>
        <v>4</v>
      </c>
      <c r="J49" s="3">
        <v>2</v>
      </c>
      <c r="K49" s="3">
        <v>2</v>
      </c>
      <c r="L49" s="36">
        <f t="shared" si="6"/>
        <v>4</v>
      </c>
      <c r="M49" s="3">
        <v>2</v>
      </c>
      <c r="N49" s="38">
        <f t="shared" si="7"/>
        <v>2</v>
      </c>
      <c r="O49" s="3">
        <v>0</v>
      </c>
      <c r="P49" s="3">
        <v>0</v>
      </c>
      <c r="Q49" s="43">
        <f t="shared" si="9"/>
        <v>0</v>
      </c>
      <c r="R49" s="3">
        <v>2</v>
      </c>
      <c r="S49" s="43">
        <f t="shared" si="10"/>
        <v>2</v>
      </c>
      <c r="T49" s="3">
        <v>2</v>
      </c>
      <c r="U49" s="3">
        <v>2</v>
      </c>
      <c r="V49" s="43">
        <f t="shared" si="11"/>
        <v>4</v>
      </c>
      <c r="Y49" s="22">
        <f t="shared" si="12"/>
        <v>18</v>
      </c>
      <c r="Z49" s="22">
        <f t="shared" si="8"/>
        <v>75</v>
      </c>
    </row>
    <row r="50" spans="1:26" ht="18" x14ac:dyDescent="0.35">
      <c r="A50" s="2">
        <v>45</v>
      </c>
      <c r="B50" s="16" t="s">
        <v>124</v>
      </c>
      <c r="C50" s="20" t="s">
        <v>125</v>
      </c>
      <c r="D50" s="3">
        <v>0</v>
      </c>
      <c r="E50" s="3">
        <v>2</v>
      </c>
      <c r="F50" s="36">
        <f t="shared" si="4"/>
        <v>2</v>
      </c>
      <c r="G50" s="3">
        <v>2</v>
      </c>
      <c r="H50" s="3">
        <v>2</v>
      </c>
      <c r="I50" s="36">
        <f t="shared" si="5"/>
        <v>4</v>
      </c>
      <c r="J50" s="3">
        <v>2</v>
      </c>
      <c r="K50" s="3">
        <v>2</v>
      </c>
      <c r="L50" s="36">
        <f t="shared" si="6"/>
        <v>4</v>
      </c>
      <c r="M50" s="3">
        <v>2</v>
      </c>
      <c r="N50" s="38">
        <f t="shared" si="7"/>
        <v>2</v>
      </c>
      <c r="O50" s="3">
        <v>2</v>
      </c>
      <c r="P50" s="3">
        <v>2</v>
      </c>
      <c r="Q50" s="43">
        <f t="shared" si="9"/>
        <v>4</v>
      </c>
      <c r="R50" s="3">
        <v>2</v>
      </c>
      <c r="S50" s="43">
        <f t="shared" si="10"/>
        <v>2</v>
      </c>
      <c r="T50" s="3">
        <v>2</v>
      </c>
      <c r="U50" s="3">
        <v>2</v>
      </c>
      <c r="V50" s="43">
        <f t="shared" si="11"/>
        <v>4</v>
      </c>
      <c r="Y50" s="22">
        <f t="shared" si="12"/>
        <v>22</v>
      </c>
      <c r="Z50" s="22">
        <f t="shared" si="8"/>
        <v>91.666666666666657</v>
      </c>
    </row>
    <row r="51" spans="1:26" ht="18" x14ac:dyDescent="0.35">
      <c r="A51" s="2">
        <v>46</v>
      </c>
      <c r="B51" s="16" t="s">
        <v>126</v>
      </c>
      <c r="C51" s="20" t="s">
        <v>127</v>
      </c>
      <c r="D51" s="3">
        <v>2</v>
      </c>
      <c r="E51" s="3">
        <v>0</v>
      </c>
      <c r="F51" s="36">
        <f t="shared" si="4"/>
        <v>2</v>
      </c>
      <c r="G51" s="3">
        <v>2</v>
      </c>
      <c r="H51" s="3">
        <v>2</v>
      </c>
      <c r="I51" s="36">
        <f t="shared" si="5"/>
        <v>4</v>
      </c>
      <c r="J51" s="3">
        <v>2</v>
      </c>
      <c r="K51" s="3">
        <v>2</v>
      </c>
      <c r="L51" s="36">
        <f t="shared" si="6"/>
        <v>4</v>
      </c>
      <c r="M51" s="3">
        <v>2</v>
      </c>
      <c r="N51" s="38">
        <f t="shared" si="7"/>
        <v>2</v>
      </c>
      <c r="O51" s="3">
        <v>0</v>
      </c>
      <c r="P51" s="3">
        <v>0</v>
      </c>
      <c r="Q51" s="43">
        <f t="shared" si="9"/>
        <v>0</v>
      </c>
      <c r="R51" s="3">
        <v>2</v>
      </c>
      <c r="S51" s="43">
        <f t="shared" si="10"/>
        <v>2</v>
      </c>
      <c r="T51" s="3">
        <v>2</v>
      </c>
      <c r="U51" s="3">
        <v>2</v>
      </c>
      <c r="V51" s="43">
        <f t="shared" si="11"/>
        <v>4</v>
      </c>
      <c r="Y51" s="22">
        <f t="shared" si="12"/>
        <v>18</v>
      </c>
      <c r="Z51" s="22">
        <f t="shared" si="8"/>
        <v>75</v>
      </c>
    </row>
    <row r="52" spans="1:26" ht="18" x14ac:dyDescent="0.35">
      <c r="A52" s="2">
        <v>47</v>
      </c>
      <c r="B52" s="16" t="s">
        <v>128</v>
      </c>
      <c r="C52" s="20" t="s">
        <v>129</v>
      </c>
      <c r="D52" s="3">
        <v>2</v>
      </c>
      <c r="E52" s="3">
        <v>2</v>
      </c>
      <c r="F52" s="36">
        <f t="shared" si="4"/>
        <v>4</v>
      </c>
      <c r="G52" s="3">
        <v>0</v>
      </c>
      <c r="H52" s="3">
        <v>2</v>
      </c>
      <c r="I52" s="36">
        <f t="shared" si="5"/>
        <v>2</v>
      </c>
      <c r="J52" s="3">
        <v>2</v>
      </c>
      <c r="K52" s="3">
        <v>2</v>
      </c>
      <c r="L52" s="36">
        <f t="shared" si="6"/>
        <v>4</v>
      </c>
      <c r="M52" s="3">
        <v>2</v>
      </c>
      <c r="N52" s="38">
        <f t="shared" si="7"/>
        <v>2</v>
      </c>
      <c r="O52" s="3">
        <v>2</v>
      </c>
      <c r="P52" s="3">
        <v>2</v>
      </c>
      <c r="Q52" s="43">
        <f t="shared" si="9"/>
        <v>4</v>
      </c>
      <c r="R52" s="3">
        <v>2</v>
      </c>
      <c r="S52" s="43">
        <f t="shared" si="10"/>
        <v>2</v>
      </c>
      <c r="T52" s="3">
        <v>2</v>
      </c>
      <c r="U52" s="3">
        <v>2</v>
      </c>
      <c r="V52" s="43">
        <f t="shared" si="11"/>
        <v>4</v>
      </c>
      <c r="Y52" s="22">
        <f t="shared" si="12"/>
        <v>22</v>
      </c>
      <c r="Z52" s="22">
        <f t="shared" si="8"/>
        <v>91.666666666666657</v>
      </c>
    </row>
    <row r="53" spans="1:26" ht="18" x14ac:dyDescent="0.35">
      <c r="A53" s="2">
        <v>48</v>
      </c>
      <c r="B53" s="16" t="s">
        <v>130</v>
      </c>
      <c r="C53" s="20" t="s">
        <v>131</v>
      </c>
      <c r="D53" s="3">
        <v>2</v>
      </c>
      <c r="E53" s="3">
        <v>2</v>
      </c>
      <c r="F53" s="36">
        <f t="shared" si="4"/>
        <v>4</v>
      </c>
      <c r="G53" s="3">
        <v>2</v>
      </c>
      <c r="H53" s="3">
        <v>0</v>
      </c>
      <c r="I53" s="36">
        <f t="shared" si="5"/>
        <v>2</v>
      </c>
      <c r="J53" s="3">
        <v>2</v>
      </c>
      <c r="K53" s="3">
        <v>2</v>
      </c>
      <c r="L53" s="36">
        <f t="shared" si="6"/>
        <v>4</v>
      </c>
      <c r="M53" s="3">
        <v>2</v>
      </c>
      <c r="N53" s="38">
        <f t="shared" si="7"/>
        <v>2</v>
      </c>
      <c r="O53" s="3">
        <v>0</v>
      </c>
      <c r="P53" s="3">
        <v>0</v>
      </c>
      <c r="Q53" s="43">
        <f t="shared" si="9"/>
        <v>0</v>
      </c>
      <c r="R53" s="3">
        <v>2</v>
      </c>
      <c r="S53" s="43">
        <f t="shared" si="10"/>
        <v>2</v>
      </c>
      <c r="T53" s="3">
        <v>2</v>
      </c>
      <c r="U53" s="3">
        <v>2</v>
      </c>
      <c r="V53" s="43">
        <f t="shared" si="11"/>
        <v>4</v>
      </c>
      <c r="Y53" s="22">
        <f t="shared" si="12"/>
        <v>18</v>
      </c>
      <c r="Z53" s="22">
        <f t="shared" si="8"/>
        <v>75</v>
      </c>
    </row>
    <row r="54" spans="1:26" ht="18" x14ac:dyDescent="0.35">
      <c r="A54" s="2">
        <v>49</v>
      </c>
      <c r="B54" s="16" t="s">
        <v>132</v>
      </c>
      <c r="C54" s="20" t="s">
        <v>133</v>
      </c>
      <c r="D54" s="3">
        <v>2</v>
      </c>
      <c r="E54" s="3">
        <v>2</v>
      </c>
      <c r="F54" s="36">
        <f t="shared" si="4"/>
        <v>4</v>
      </c>
      <c r="G54" s="3">
        <v>2</v>
      </c>
      <c r="H54" s="3">
        <v>2</v>
      </c>
      <c r="I54" s="36">
        <f t="shared" si="5"/>
        <v>4</v>
      </c>
      <c r="J54" s="3">
        <v>0</v>
      </c>
      <c r="K54" s="3">
        <v>2</v>
      </c>
      <c r="L54" s="36">
        <f t="shared" si="6"/>
        <v>2</v>
      </c>
      <c r="M54" s="3">
        <v>2</v>
      </c>
      <c r="N54" s="38">
        <f t="shared" si="7"/>
        <v>2</v>
      </c>
      <c r="O54" s="3">
        <v>2</v>
      </c>
      <c r="P54" s="3">
        <v>2</v>
      </c>
      <c r="Q54" s="43">
        <f t="shared" si="9"/>
        <v>4</v>
      </c>
      <c r="R54" s="3">
        <v>2</v>
      </c>
      <c r="S54" s="43">
        <f t="shared" si="10"/>
        <v>2</v>
      </c>
      <c r="T54" s="3">
        <v>2</v>
      </c>
      <c r="U54" s="3">
        <v>2</v>
      </c>
      <c r="V54" s="43">
        <f t="shared" si="11"/>
        <v>4</v>
      </c>
      <c r="Y54" s="22">
        <f t="shared" si="12"/>
        <v>22</v>
      </c>
      <c r="Z54" s="22">
        <f t="shared" si="8"/>
        <v>91.666666666666657</v>
      </c>
    </row>
    <row r="55" spans="1:26" ht="18" x14ac:dyDescent="0.35">
      <c r="A55" s="2">
        <v>50</v>
      </c>
      <c r="B55" s="16" t="s">
        <v>134</v>
      </c>
      <c r="C55" s="20" t="s">
        <v>135</v>
      </c>
      <c r="D55" s="3">
        <v>2</v>
      </c>
      <c r="E55" s="3">
        <v>2</v>
      </c>
      <c r="F55" s="36">
        <f t="shared" si="4"/>
        <v>4</v>
      </c>
      <c r="G55" s="3">
        <v>2</v>
      </c>
      <c r="H55" s="3">
        <v>2</v>
      </c>
      <c r="I55" s="36">
        <f t="shared" si="5"/>
        <v>4</v>
      </c>
      <c r="J55" s="3">
        <v>2</v>
      </c>
      <c r="K55" s="3">
        <v>0</v>
      </c>
      <c r="L55" s="36">
        <f t="shared" si="6"/>
        <v>2</v>
      </c>
      <c r="M55" s="3">
        <v>2</v>
      </c>
      <c r="N55" s="38">
        <f t="shared" si="7"/>
        <v>2</v>
      </c>
      <c r="O55" s="3">
        <v>0</v>
      </c>
      <c r="P55" s="3">
        <v>0</v>
      </c>
      <c r="Q55" s="43">
        <f t="shared" si="9"/>
        <v>0</v>
      </c>
      <c r="R55" s="3">
        <v>2</v>
      </c>
      <c r="S55" s="43">
        <f t="shared" si="10"/>
        <v>2</v>
      </c>
      <c r="T55" s="3">
        <v>2</v>
      </c>
      <c r="U55" s="3">
        <v>2</v>
      </c>
      <c r="V55" s="43">
        <f t="shared" si="11"/>
        <v>4</v>
      </c>
      <c r="Y55" s="22">
        <f t="shared" si="12"/>
        <v>18</v>
      </c>
      <c r="Z55" s="22">
        <f t="shared" si="8"/>
        <v>75</v>
      </c>
    </row>
    <row r="56" spans="1:26" ht="18" x14ac:dyDescent="0.35">
      <c r="A56" s="2">
        <v>51</v>
      </c>
      <c r="B56" s="16" t="s">
        <v>136</v>
      </c>
      <c r="C56" s="20" t="s">
        <v>137</v>
      </c>
      <c r="D56" s="3">
        <v>2</v>
      </c>
      <c r="E56" s="3">
        <v>2</v>
      </c>
      <c r="F56" s="36">
        <f t="shared" si="4"/>
        <v>4</v>
      </c>
      <c r="G56" s="3">
        <v>2</v>
      </c>
      <c r="H56" s="3">
        <v>2</v>
      </c>
      <c r="I56" s="36">
        <f t="shared" si="5"/>
        <v>4</v>
      </c>
      <c r="J56" s="3">
        <v>2</v>
      </c>
      <c r="K56" s="3">
        <v>2</v>
      </c>
      <c r="L56" s="36">
        <f t="shared" si="6"/>
        <v>4</v>
      </c>
      <c r="M56" s="3">
        <v>0</v>
      </c>
      <c r="N56" s="38">
        <f t="shared" si="7"/>
        <v>0</v>
      </c>
      <c r="O56" s="3">
        <v>2</v>
      </c>
      <c r="P56" s="3">
        <v>2</v>
      </c>
      <c r="Q56" s="43">
        <f t="shared" si="9"/>
        <v>4</v>
      </c>
      <c r="R56" s="3">
        <v>2</v>
      </c>
      <c r="S56" s="43">
        <f t="shared" si="10"/>
        <v>2</v>
      </c>
      <c r="T56" s="3">
        <v>2</v>
      </c>
      <c r="U56" s="3">
        <v>2</v>
      </c>
      <c r="V56" s="43">
        <f t="shared" si="11"/>
        <v>4</v>
      </c>
      <c r="Y56" s="22">
        <f t="shared" si="12"/>
        <v>22</v>
      </c>
      <c r="Z56" s="22">
        <f t="shared" si="8"/>
        <v>91.666666666666657</v>
      </c>
    </row>
    <row r="57" spans="1:26" ht="18" x14ac:dyDescent="0.35">
      <c r="A57" s="2">
        <v>52</v>
      </c>
      <c r="B57" s="16" t="s">
        <v>138</v>
      </c>
      <c r="C57" s="20" t="s">
        <v>139</v>
      </c>
      <c r="D57" s="3">
        <v>2</v>
      </c>
      <c r="E57" s="3">
        <v>2</v>
      </c>
      <c r="F57" s="36">
        <f t="shared" si="4"/>
        <v>4</v>
      </c>
      <c r="G57" s="3">
        <v>2</v>
      </c>
      <c r="H57" s="3">
        <v>2</v>
      </c>
      <c r="I57" s="36">
        <f t="shared" si="5"/>
        <v>4</v>
      </c>
      <c r="J57" s="3">
        <v>2</v>
      </c>
      <c r="K57" s="3">
        <v>0</v>
      </c>
      <c r="L57" s="36">
        <f t="shared" si="6"/>
        <v>2</v>
      </c>
      <c r="M57" s="3">
        <v>2</v>
      </c>
      <c r="N57" s="38">
        <f t="shared" si="7"/>
        <v>2</v>
      </c>
      <c r="O57" s="3">
        <v>0</v>
      </c>
      <c r="P57" s="3">
        <v>0</v>
      </c>
      <c r="Q57" s="43">
        <f t="shared" si="9"/>
        <v>0</v>
      </c>
      <c r="R57" s="3">
        <v>2</v>
      </c>
      <c r="S57" s="43">
        <f t="shared" si="10"/>
        <v>2</v>
      </c>
      <c r="T57" s="3">
        <v>2</v>
      </c>
      <c r="U57" s="3">
        <v>2</v>
      </c>
      <c r="V57" s="43">
        <f t="shared" si="11"/>
        <v>4</v>
      </c>
      <c r="Y57" s="22">
        <f t="shared" si="12"/>
        <v>18</v>
      </c>
      <c r="Z57" s="22">
        <f t="shared" si="8"/>
        <v>75</v>
      </c>
    </row>
    <row r="58" spans="1:26" ht="18" x14ac:dyDescent="0.35">
      <c r="A58" s="2">
        <v>53</v>
      </c>
      <c r="B58" s="16" t="s">
        <v>140</v>
      </c>
      <c r="C58" s="20" t="s">
        <v>141</v>
      </c>
      <c r="D58" s="3">
        <v>2</v>
      </c>
      <c r="E58" s="3">
        <v>2</v>
      </c>
      <c r="F58" s="36">
        <f t="shared" si="4"/>
        <v>4</v>
      </c>
      <c r="G58" s="3">
        <v>2</v>
      </c>
      <c r="H58" s="3">
        <v>2</v>
      </c>
      <c r="I58" s="36">
        <f t="shared" si="5"/>
        <v>4</v>
      </c>
      <c r="J58" s="3">
        <v>0</v>
      </c>
      <c r="K58" s="3">
        <v>2</v>
      </c>
      <c r="L58" s="36">
        <f t="shared" si="6"/>
        <v>2</v>
      </c>
      <c r="M58" s="3">
        <v>2</v>
      </c>
      <c r="N58" s="38">
        <f t="shared" si="7"/>
        <v>2</v>
      </c>
      <c r="O58" s="3">
        <v>2</v>
      </c>
      <c r="P58" s="3">
        <v>2</v>
      </c>
      <c r="Q58" s="43">
        <f t="shared" si="9"/>
        <v>4</v>
      </c>
      <c r="R58" s="3">
        <v>2</v>
      </c>
      <c r="S58" s="43">
        <f t="shared" si="10"/>
        <v>2</v>
      </c>
      <c r="T58" s="3">
        <v>2</v>
      </c>
      <c r="U58" s="3">
        <v>2</v>
      </c>
      <c r="V58" s="43">
        <f t="shared" si="11"/>
        <v>4</v>
      </c>
      <c r="Y58" s="22">
        <f t="shared" si="12"/>
        <v>22</v>
      </c>
      <c r="Z58" s="22">
        <f t="shared" si="8"/>
        <v>91.666666666666657</v>
      </c>
    </row>
    <row r="59" spans="1:26" ht="18" x14ac:dyDescent="0.35">
      <c r="A59" s="2">
        <v>54</v>
      </c>
      <c r="B59" s="16" t="s">
        <v>142</v>
      </c>
      <c r="C59" s="20" t="s">
        <v>143</v>
      </c>
      <c r="D59" s="3">
        <v>2</v>
      </c>
      <c r="E59" s="3">
        <v>2</v>
      </c>
      <c r="F59" s="36">
        <f t="shared" si="4"/>
        <v>4</v>
      </c>
      <c r="G59" s="3">
        <v>2</v>
      </c>
      <c r="H59" s="3">
        <v>0</v>
      </c>
      <c r="I59" s="36">
        <f t="shared" si="5"/>
        <v>2</v>
      </c>
      <c r="J59" s="3">
        <v>2</v>
      </c>
      <c r="K59" s="3">
        <v>2</v>
      </c>
      <c r="L59" s="36">
        <f t="shared" si="6"/>
        <v>4</v>
      </c>
      <c r="M59" s="3">
        <v>2</v>
      </c>
      <c r="N59" s="38">
        <f t="shared" si="7"/>
        <v>2</v>
      </c>
      <c r="O59" s="3">
        <v>2</v>
      </c>
      <c r="P59" s="3">
        <v>2</v>
      </c>
      <c r="Q59" s="43">
        <f t="shared" si="9"/>
        <v>4</v>
      </c>
      <c r="R59" s="3">
        <v>2</v>
      </c>
      <c r="S59" s="43">
        <f t="shared" si="10"/>
        <v>2</v>
      </c>
      <c r="T59" s="3">
        <v>2</v>
      </c>
      <c r="U59" s="3">
        <v>2</v>
      </c>
      <c r="V59" s="43">
        <f t="shared" si="11"/>
        <v>4</v>
      </c>
      <c r="Y59" s="22">
        <f t="shared" si="12"/>
        <v>22</v>
      </c>
      <c r="Z59" s="22">
        <f t="shared" si="8"/>
        <v>91.666666666666657</v>
      </c>
    </row>
    <row r="60" spans="1:26" ht="18" x14ac:dyDescent="0.35">
      <c r="A60" s="2">
        <v>55</v>
      </c>
      <c r="B60" s="16" t="s">
        <v>144</v>
      </c>
      <c r="C60" s="20" t="s">
        <v>145</v>
      </c>
      <c r="D60" s="3">
        <v>2</v>
      </c>
      <c r="E60" s="3">
        <v>2</v>
      </c>
      <c r="F60" s="36">
        <f t="shared" si="4"/>
        <v>4</v>
      </c>
      <c r="G60" s="3">
        <v>0</v>
      </c>
      <c r="H60" s="3">
        <v>2</v>
      </c>
      <c r="I60" s="36">
        <f t="shared" si="5"/>
        <v>2</v>
      </c>
      <c r="J60" s="3">
        <v>2</v>
      </c>
      <c r="K60" s="3">
        <v>2</v>
      </c>
      <c r="L60" s="36">
        <f t="shared" si="6"/>
        <v>4</v>
      </c>
      <c r="M60" s="3">
        <v>2</v>
      </c>
      <c r="N60" s="38">
        <f t="shared" si="7"/>
        <v>2</v>
      </c>
      <c r="O60" s="3">
        <v>0</v>
      </c>
      <c r="P60" s="3">
        <v>0</v>
      </c>
      <c r="Q60" s="43">
        <f t="shared" si="9"/>
        <v>0</v>
      </c>
      <c r="R60" s="3">
        <v>2</v>
      </c>
      <c r="S60" s="43">
        <f t="shared" si="10"/>
        <v>2</v>
      </c>
      <c r="T60" s="3">
        <v>2</v>
      </c>
      <c r="U60" s="3">
        <v>2</v>
      </c>
      <c r="V60" s="43">
        <f t="shared" si="11"/>
        <v>4</v>
      </c>
      <c r="Y60" s="22">
        <f t="shared" si="12"/>
        <v>18</v>
      </c>
      <c r="Z60" s="22">
        <f t="shared" si="8"/>
        <v>75</v>
      </c>
    </row>
    <row r="61" spans="1:26" ht="18" x14ac:dyDescent="0.35">
      <c r="A61" s="2">
        <v>56</v>
      </c>
      <c r="B61" s="16" t="s">
        <v>146</v>
      </c>
      <c r="C61" s="20" t="s">
        <v>147</v>
      </c>
      <c r="D61" s="3">
        <v>2</v>
      </c>
      <c r="E61" s="3">
        <v>0</v>
      </c>
      <c r="F61" s="36">
        <f t="shared" si="4"/>
        <v>2</v>
      </c>
      <c r="G61" s="3">
        <v>2</v>
      </c>
      <c r="H61" s="3">
        <v>2</v>
      </c>
      <c r="I61" s="36">
        <f t="shared" si="5"/>
        <v>4</v>
      </c>
      <c r="J61" s="3">
        <v>2</v>
      </c>
      <c r="K61" s="3">
        <v>2</v>
      </c>
      <c r="L61" s="36">
        <f t="shared" si="6"/>
        <v>4</v>
      </c>
      <c r="M61" s="3">
        <v>2</v>
      </c>
      <c r="N61" s="38">
        <f t="shared" si="7"/>
        <v>2</v>
      </c>
      <c r="O61" s="3">
        <v>2</v>
      </c>
      <c r="P61" s="3">
        <v>2</v>
      </c>
      <c r="Q61" s="43">
        <f t="shared" si="9"/>
        <v>4</v>
      </c>
      <c r="R61" s="3">
        <v>2</v>
      </c>
      <c r="S61" s="43">
        <f t="shared" si="10"/>
        <v>2</v>
      </c>
      <c r="T61" s="3">
        <v>2</v>
      </c>
      <c r="U61" s="3">
        <v>2</v>
      </c>
      <c r="V61" s="43">
        <f t="shared" si="11"/>
        <v>4</v>
      </c>
      <c r="Y61" s="22">
        <f t="shared" si="12"/>
        <v>22</v>
      </c>
      <c r="Z61" s="22">
        <f t="shared" si="8"/>
        <v>91.666666666666657</v>
      </c>
    </row>
    <row r="62" spans="1:26" ht="18" x14ac:dyDescent="0.35">
      <c r="A62" s="2">
        <v>57</v>
      </c>
      <c r="B62" s="16" t="s">
        <v>148</v>
      </c>
      <c r="C62" s="20" t="s">
        <v>149</v>
      </c>
      <c r="D62" s="3">
        <v>0</v>
      </c>
      <c r="E62" s="3">
        <v>2</v>
      </c>
      <c r="F62" s="36">
        <f t="shared" si="4"/>
        <v>2</v>
      </c>
      <c r="G62" s="3">
        <v>2</v>
      </c>
      <c r="H62" s="3">
        <v>2</v>
      </c>
      <c r="I62" s="36">
        <f t="shared" si="5"/>
        <v>4</v>
      </c>
      <c r="J62" s="3">
        <v>2</v>
      </c>
      <c r="K62" s="3">
        <v>2</v>
      </c>
      <c r="L62" s="36">
        <f t="shared" si="6"/>
        <v>4</v>
      </c>
      <c r="M62" s="3">
        <v>2</v>
      </c>
      <c r="N62" s="38">
        <f t="shared" si="7"/>
        <v>2</v>
      </c>
      <c r="O62" s="3">
        <v>2</v>
      </c>
      <c r="P62" s="3">
        <v>2</v>
      </c>
      <c r="Q62" s="43">
        <f t="shared" si="9"/>
        <v>4</v>
      </c>
      <c r="R62" s="3">
        <v>2</v>
      </c>
      <c r="S62" s="43">
        <f t="shared" si="10"/>
        <v>2</v>
      </c>
      <c r="T62" s="3">
        <v>2</v>
      </c>
      <c r="U62" s="3">
        <v>2</v>
      </c>
      <c r="V62" s="43">
        <f t="shared" si="11"/>
        <v>4</v>
      </c>
      <c r="Y62" s="22">
        <f t="shared" si="12"/>
        <v>22</v>
      </c>
      <c r="Z62" s="22">
        <f t="shared" si="8"/>
        <v>91.666666666666657</v>
      </c>
    </row>
    <row r="63" spans="1:26" ht="18" x14ac:dyDescent="0.35">
      <c r="A63" s="2">
        <v>58</v>
      </c>
      <c r="B63" s="16" t="s">
        <v>150</v>
      </c>
      <c r="C63" s="20" t="s">
        <v>151</v>
      </c>
      <c r="D63" s="3">
        <v>2</v>
      </c>
      <c r="E63" s="3">
        <v>0</v>
      </c>
      <c r="F63" s="36">
        <f t="shared" si="4"/>
        <v>2</v>
      </c>
      <c r="G63" s="3">
        <v>2</v>
      </c>
      <c r="H63" s="3">
        <v>2</v>
      </c>
      <c r="I63" s="36">
        <f t="shared" si="5"/>
        <v>4</v>
      </c>
      <c r="J63" s="3">
        <v>2</v>
      </c>
      <c r="K63" s="3">
        <v>2</v>
      </c>
      <c r="L63" s="36">
        <f t="shared" si="6"/>
        <v>4</v>
      </c>
      <c r="M63" s="3">
        <v>2</v>
      </c>
      <c r="N63" s="38">
        <f t="shared" si="7"/>
        <v>2</v>
      </c>
      <c r="O63" s="3">
        <v>0</v>
      </c>
      <c r="P63" s="3">
        <v>0</v>
      </c>
      <c r="Q63" s="43">
        <f t="shared" si="9"/>
        <v>0</v>
      </c>
      <c r="R63" s="3">
        <v>2</v>
      </c>
      <c r="S63" s="43">
        <f t="shared" si="10"/>
        <v>2</v>
      </c>
      <c r="T63" s="3">
        <v>2</v>
      </c>
      <c r="U63" s="3">
        <v>2</v>
      </c>
      <c r="V63" s="43">
        <f t="shared" si="11"/>
        <v>4</v>
      </c>
      <c r="Y63" s="22">
        <f t="shared" si="12"/>
        <v>18</v>
      </c>
      <c r="Z63" s="22">
        <f t="shared" si="8"/>
        <v>75</v>
      </c>
    </row>
    <row r="64" spans="1:26" ht="18" x14ac:dyDescent="0.35">
      <c r="A64" s="2">
        <v>59</v>
      </c>
      <c r="B64" s="16" t="s">
        <v>152</v>
      </c>
      <c r="C64" s="20" t="s">
        <v>153</v>
      </c>
      <c r="D64" s="3">
        <v>2</v>
      </c>
      <c r="E64" s="3">
        <v>2</v>
      </c>
      <c r="F64" s="36">
        <f t="shared" si="4"/>
        <v>4</v>
      </c>
      <c r="G64" s="3">
        <v>0</v>
      </c>
      <c r="H64" s="3">
        <v>2</v>
      </c>
      <c r="I64" s="36">
        <f t="shared" si="5"/>
        <v>2</v>
      </c>
      <c r="J64" s="3">
        <v>2</v>
      </c>
      <c r="K64" s="3">
        <v>2</v>
      </c>
      <c r="L64" s="36">
        <f t="shared" si="6"/>
        <v>4</v>
      </c>
      <c r="M64" s="3">
        <v>2</v>
      </c>
      <c r="N64" s="38">
        <f t="shared" si="7"/>
        <v>2</v>
      </c>
      <c r="O64" s="3">
        <v>2</v>
      </c>
      <c r="P64" s="3">
        <v>2</v>
      </c>
      <c r="Q64" s="43">
        <f t="shared" si="9"/>
        <v>4</v>
      </c>
      <c r="R64" s="3">
        <v>2</v>
      </c>
      <c r="S64" s="43">
        <f t="shared" si="10"/>
        <v>2</v>
      </c>
      <c r="T64" s="3">
        <v>2</v>
      </c>
      <c r="U64" s="3">
        <v>2</v>
      </c>
      <c r="V64" s="43">
        <f t="shared" si="11"/>
        <v>4</v>
      </c>
      <c r="Y64" s="22">
        <f t="shared" si="12"/>
        <v>22</v>
      </c>
      <c r="Z64" s="22">
        <f t="shared" si="8"/>
        <v>91.666666666666657</v>
      </c>
    </row>
    <row r="65" spans="1:26" ht="18" x14ac:dyDescent="0.35">
      <c r="A65" s="2">
        <v>60</v>
      </c>
      <c r="B65" s="16" t="s">
        <v>154</v>
      </c>
      <c r="C65" s="20" t="s">
        <v>155</v>
      </c>
      <c r="D65" s="3">
        <v>2</v>
      </c>
      <c r="E65" s="3">
        <v>2</v>
      </c>
      <c r="F65" s="36">
        <f t="shared" si="4"/>
        <v>4</v>
      </c>
      <c r="G65" s="3">
        <v>2</v>
      </c>
      <c r="H65" s="3">
        <v>0</v>
      </c>
      <c r="I65" s="36">
        <f t="shared" si="5"/>
        <v>2</v>
      </c>
      <c r="J65" s="3">
        <v>2</v>
      </c>
      <c r="K65" s="3">
        <v>2</v>
      </c>
      <c r="L65" s="36">
        <f t="shared" si="6"/>
        <v>4</v>
      </c>
      <c r="M65" s="3">
        <v>2</v>
      </c>
      <c r="N65" s="38">
        <f t="shared" si="7"/>
        <v>2</v>
      </c>
      <c r="O65" s="3">
        <v>2</v>
      </c>
      <c r="P65" s="3">
        <v>2</v>
      </c>
      <c r="Q65" s="43">
        <f t="shared" si="9"/>
        <v>4</v>
      </c>
      <c r="R65" s="3">
        <v>2</v>
      </c>
      <c r="S65" s="43">
        <f t="shared" si="10"/>
        <v>2</v>
      </c>
      <c r="T65" s="3">
        <v>2</v>
      </c>
      <c r="U65" s="3">
        <v>2</v>
      </c>
      <c r="V65" s="43">
        <f t="shared" si="11"/>
        <v>4</v>
      </c>
      <c r="Y65" s="22">
        <f t="shared" si="12"/>
        <v>22</v>
      </c>
      <c r="Z65" s="22">
        <f t="shared" si="8"/>
        <v>91.666666666666657</v>
      </c>
    </row>
    <row r="66" spans="1:26" ht="18" x14ac:dyDescent="0.35">
      <c r="A66" s="2">
        <v>61</v>
      </c>
      <c r="B66" s="16" t="s">
        <v>156</v>
      </c>
      <c r="C66" s="20" t="s">
        <v>157</v>
      </c>
      <c r="D66" s="3">
        <v>2</v>
      </c>
      <c r="E66" s="3">
        <v>2</v>
      </c>
      <c r="F66" s="36">
        <f t="shared" si="4"/>
        <v>4</v>
      </c>
      <c r="G66" s="3">
        <v>2</v>
      </c>
      <c r="H66" s="3">
        <v>2</v>
      </c>
      <c r="I66" s="36">
        <f t="shared" si="5"/>
        <v>4</v>
      </c>
      <c r="J66" s="3">
        <v>0</v>
      </c>
      <c r="K66" s="3">
        <v>2</v>
      </c>
      <c r="L66" s="36">
        <f t="shared" si="6"/>
        <v>2</v>
      </c>
      <c r="M66" s="3">
        <v>2</v>
      </c>
      <c r="N66" s="38">
        <f t="shared" si="7"/>
        <v>2</v>
      </c>
      <c r="O66" s="3">
        <v>0</v>
      </c>
      <c r="P66" s="3">
        <v>0</v>
      </c>
      <c r="Q66" s="43">
        <f t="shared" si="9"/>
        <v>0</v>
      </c>
      <c r="R66" s="3">
        <v>2</v>
      </c>
      <c r="S66" s="43">
        <f t="shared" si="10"/>
        <v>2</v>
      </c>
      <c r="T66" s="3">
        <v>2</v>
      </c>
      <c r="U66" s="3">
        <v>2</v>
      </c>
      <c r="V66" s="43">
        <f t="shared" si="11"/>
        <v>4</v>
      </c>
      <c r="Y66" s="22">
        <f t="shared" si="12"/>
        <v>18</v>
      </c>
      <c r="Z66" s="22">
        <f t="shared" si="8"/>
        <v>75</v>
      </c>
    </row>
    <row r="67" spans="1:26" ht="18" x14ac:dyDescent="0.35">
      <c r="A67" s="2">
        <v>62</v>
      </c>
      <c r="B67" s="16" t="s">
        <v>158</v>
      </c>
      <c r="C67" s="20" t="s">
        <v>159</v>
      </c>
      <c r="D67" s="3">
        <v>2</v>
      </c>
      <c r="E67" s="3">
        <v>2</v>
      </c>
      <c r="F67" s="36">
        <f t="shared" si="4"/>
        <v>4</v>
      </c>
      <c r="G67" s="3">
        <v>2</v>
      </c>
      <c r="H67" s="3">
        <v>2</v>
      </c>
      <c r="I67" s="36">
        <f t="shared" si="5"/>
        <v>4</v>
      </c>
      <c r="J67" s="3">
        <v>2</v>
      </c>
      <c r="K67" s="3">
        <v>0</v>
      </c>
      <c r="L67" s="36">
        <f t="shared" si="6"/>
        <v>2</v>
      </c>
      <c r="M67" s="3">
        <v>2</v>
      </c>
      <c r="N67" s="38">
        <f t="shared" si="7"/>
        <v>2</v>
      </c>
      <c r="O67" s="3">
        <v>2</v>
      </c>
      <c r="P67" s="3">
        <v>2</v>
      </c>
      <c r="Q67" s="43">
        <f t="shared" si="9"/>
        <v>4</v>
      </c>
      <c r="R67" s="3">
        <v>2</v>
      </c>
      <c r="S67" s="43">
        <f t="shared" si="10"/>
        <v>2</v>
      </c>
      <c r="T67" s="3">
        <v>2</v>
      </c>
      <c r="U67" s="3">
        <v>2</v>
      </c>
      <c r="V67" s="43">
        <f t="shared" si="11"/>
        <v>4</v>
      </c>
      <c r="Y67" s="22">
        <f t="shared" si="12"/>
        <v>22</v>
      </c>
      <c r="Z67" s="22">
        <f t="shared" si="8"/>
        <v>91.666666666666657</v>
      </c>
    </row>
    <row r="68" spans="1:26" ht="18" x14ac:dyDescent="0.35">
      <c r="A68" s="2">
        <v>63</v>
      </c>
      <c r="B68" s="16" t="s">
        <v>160</v>
      </c>
      <c r="C68" s="20" t="s">
        <v>161</v>
      </c>
      <c r="D68" s="3">
        <v>2</v>
      </c>
      <c r="E68" s="3">
        <v>2</v>
      </c>
      <c r="F68" s="36">
        <f t="shared" si="4"/>
        <v>4</v>
      </c>
      <c r="G68" s="3">
        <v>2</v>
      </c>
      <c r="H68" s="3">
        <v>2</v>
      </c>
      <c r="I68" s="36">
        <f t="shared" si="5"/>
        <v>4</v>
      </c>
      <c r="J68" s="3">
        <v>2</v>
      </c>
      <c r="K68" s="3">
        <v>2</v>
      </c>
      <c r="L68" s="36">
        <f t="shared" si="6"/>
        <v>4</v>
      </c>
      <c r="M68" s="3">
        <v>0</v>
      </c>
      <c r="N68" s="38">
        <f t="shared" si="7"/>
        <v>0</v>
      </c>
      <c r="O68" s="3">
        <v>2</v>
      </c>
      <c r="P68" s="3">
        <v>2</v>
      </c>
      <c r="Q68" s="43">
        <f t="shared" si="9"/>
        <v>4</v>
      </c>
      <c r="R68" s="3">
        <v>2</v>
      </c>
      <c r="S68" s="43">
        <f t="shared" si="10"/>
        <v>2</v>
      </c>
      <c r="T68" s="3">
        <v>2</v>
      </c>
      <c r="U68" s="3">
        <v>2</v>
      </c>
      <c r="V68" s="43">
        <f t="shared" si="11"/>
        <v>4</v>
      </c>
      <c r="Y68" s="22">
        <f t="shared" si="12"/>
        <v>22</v>
      </c>
      <c r="Z68" s="22">
        <f t="shared" si="8"/>
        <v>91.666666666666657</v>
      </c>
    </row>
    <row r="69" spans="1:26" ht="18" x14ac:dyDescent="0.35">
      <c r="A69" s="2">
        <v>64</v>
      </c>
      <c r="B69" s="16" t="s">
        <v>162</v>
      </c>
      <c r="C69" s="20" t="s">
        <v>163</v>
      </c>
      <c r="D69" s="3">
        <v>2</v>
      </c>
      <c r="E69" s="3">
        <v>2</v>
      </c>
      <c r="F69" s="36">
        <f t="shared" si="4"/>
        <v>4</v>
      </c>
      <c r="G69" s="3">
        <v>2</v>
      </c>
      <c r="H69" s="3">
        <v>2</v>
      </c>
      <c r="I69" s="36">
        <f t="shared" si="5"/>
        <v>4</v>
      </c>
      <c r="J69" s="3">
        <v>2</v>
      </c>
      <c r="K69" s="3">
        <v>0</v>
      </c>
      <c r="L69" s="36">
        <f t="shared" si="6"/>
        <v>2</v>
      </c>
      <c r="M69" s="3">
        <v>2</v>
      </c>
      <c r="N69" s="38">
        <f t="shared" si="7"/>
        <v>2</v>
      </c>
      <c r="O69" s="3">
        <v>0</v>
      </c>
      <c r="P69" s="3">
        <v>0</v>
      </c>
      <c r="Q69" s="43">
        <f t="shared" ref="Q69:Q70" si="13">SUM(O69:P69)</f>
        <v>0</v>
      </c>
      <c r="R69" s="3">
        <v>2</v>
      </c>
      <c r="S69" s="43">
        <f t="shared" ref="S69:S70" si="14">SUM(R69:R69)</f>
        <v>2</v>
      </c>
      <c r="T69" s="3">
        <v>2</v>
      </c>
      <c r="U69" s="3">
        <v>2</v>
      </c>
      <c r="V69" s="43">
        <f t="shared" ref="V69:V100" si="15">SUM(T69:U69)</f>
        <v>4</v>
      </c>
      <c r="Y69" s="22">
        <f t="shared" si="12"/>
        <v>18</v>
      </c>
      <c r="Z69" s="22">
        <f t="shared" si="8"/>
        <v>75</v>
      </c>
    </row>
    <row r="70" spans="1:26" ht="18" x14ac:dyDescent="0.35">
      <c r="A70" s="2">
        <v>65</v>
      </c>
      <c r="B70" s="17" t="s">
        <v>164</v>
      </c>
      <c r="C70" s="21" t="s">
        <v>165</v>
      </c>
      <c r="D70" s="3">
        <v>2</v>
      </c>
      <c r="E70" s="3">
        <v>2</v>
      </c>
      <c r="F70" s="36">
        <f t="shared" ref="F70" si="16">SUM(D70:E70)</f>
        <v>4</v>
      </c>
      <c r="G70" s="3">
        <v>0</v>
      </c>
      <c r="H70" s="3">
        <v>2</v>
      </c>
      <c r="I70" s="36">
        <f t="shared" ref="I70" si="17">SUM(G70:H70)</f>
        <v>2</v>
      </c>
      <c r="J70" s="3">
        <v>2</v>
      </c>
      <c r="K70" s="3">
        <v>2</v>
      </c>
      <c r="L70" s="36">
        <f t="shared" ref="L70" si="18">SUM(J70:K70)</f>
        <v>4</v>
      </c>
      <c r="M70" s="3">
        <v>2</v>
      </c>
      <c r="N70" s="38">
        <f t="shared" ref="N70" si="19">SUM(M70:M70)</f>
        <v>2</v>
      </c>
      <c r="O70" s="3">
        <v>2</v>
      </c>
      <c r="P70" s="3">
        <v>2</v>
      </c>
      <c r="Q70" s="43">
        <f t="shared" si="13"/>
        <v>4</v>
      </c>
      <c r="R70" s="3">
        <v>2</v>
      </c>
      <c r="S70" s="43">
        <f t="shared" si="14"/>
        <v>2</v>
      </c>
      <c r="T70" s="3">
        <v>2</v>
      </c>
      <c r="U70" s="3">
        <v>2</v>
      </c>
      <c r="V70" s="43">
        <f t="shared" si="15"/>
        <v>4</v>
      </c>
      <c r="Y70" s="22">
        <f t="shared" si="12"/>
        <v>22</v>
      </c>
      <c r="Z70" s="22">
        <f t="shared" si="8"/>
        <v>91.666666666666657</v>
      </c>
    </row>
  </sheetData>
  <autoFilter ref="Y5:Z70"/>
  <mergeCells count="16">
    <mergeCell ref="M2"/>
    <mergeCell ref="N2:N3"/>
    <mergeCell ref="A3:A4"/>
    <mergeCell ref="B3:B4"/>
    <mergeCell ref="A5:B5"/>
    <mergeCell ref="D2:E2"/>
    <mergeCell ref="F2:F3"/>
    <mergeCell ref="G2:H2"/>
    <mergeCell ref="I2:I3"/>
    <mergeCell ref="J2:K2"/>
    <mergeCell ref="L2:L3"/>
    <mergeCell ref="V2:V3"/>
    <mergeCell ref="O2:P2"/>
    <mergeCell ref="Q2:Q3"/>
    <mergeCell ref="S2:S3"/>
    <mergeCell ref="T2:U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topLeftCell="D1" zoomScale="80" zoomScaleNormal="80" workbookViewId="0">
      <selection activeCell="W7" sqref="W7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1" width="9.109375" style="15" customWidth="1"/>
    <col min="12" max="12" width="9.109375" style="15"/>
    <col min="13" max="13" width="9.109375" style="15" customWidth="1"/>
    <col min="14" max="14" width="9.109375" style="15"/>
    <col min="15" max="16" width="9.109375" style="15" customWidth="1"/>
    <col min="17" max="17" width="9.109375" style="15"/>
    <col min="18" max="18" width="9.109375" style="15" customWidth="1"/>
    <col min="19" max="19" width="9.109375" style="15"/>
    <col min="20" max="21" width="9.109375" style="15" customWidth="1"/>
    <col min="22" max="16384" width="9.109375" style="15"/>
  </cols>
  <sheetData>
    <row r="1" spans="1:26" ht="15.75" thickBot="1" x14ac:dyDescent="0.3"/>
    <row r="2" spans="1:26" ht="15.75" customHeight="1" thickBot="1" x14ac:dyDescent="0.3">
      <c r="D2" s="64" t="s">
        <v>35</v>
      </c>
      <c r="E2" s="64"/>
      <c r="F2" s="60" t="s">
        <v>16</v>
      </c>
      <c r="G2" s="62" t="s">
        <v>7</v>
      </c>
      <c r="H2" s="63"/>
      <c r="I2" s="60" t="s">
        <v>17</v>
      </c>
      <c r="J2" s="64" t="s">
        <v>7</v>
      </c>
      <c r="K2" s="64"/>
      <c r="L2" s="60" t="s">
        <v>18</v>
      </c>
      <c r="M2" s="53" t="s">
        <v>166</v>
      </c>
      <c r="N2" s="52" t="s">
        <v>19</v>
      </c>
      <c r="O2" s="53" t="s">
        <v>166</v>
      </c>
      <c r="P2" s="53"/>
      <c r="Q2" s="54" t="s">
        <v>168</v>
      </c>
      <c r="R2" s="32" t="s">
        <v>171</v>
      </c>
      <c r="S2" s="52" t="s">
        <v>169</v>
      </c>
      <c r="T2" s="53" t="s">
        <v>171</v>
      </c>
      <c r="U2" s="53"/>
      <c r="V2" s="52" t="s">
        <v>170</v>
      </c>
    </row>
    <row r="3" spans="1:26" x14ac:dyDescent="0.25">
      <c r="A3" s="58"/>
      <c r="B3" s="59"/>
      <c r="C3" s="29"/>
      <c r="D3" s="4" t="s">
        <v>11</v>
      </c>
      <c r="E3" s="4" t="s">
        <v>11</v>
      </c>
      <c r="F3" s="61"/>
      <c r="G3" s="4" t="s">
        <v>11</v>
      </c>
      <c r="H3" s="4" t="s">
        <v>11</v>
      </c>
      <c r="I3" s="61"/>
      <c r="J3" s="4" t="s">
        <v>11</v>
      </c>
      <c r="K3" s="4" t="s">
        <v>11</v>
      </c>
      <c r="L3" s="61"/>
      <c r="M3" s="30" t="s">
        <v>4</v>
      </c>
      <c r="N3" s="52"/>
      <c r="O3" s="34" t="s">
        <v>4</v>
      </c>
      <c r="P3" s="34" t="s">
        <v>4</v>
      </c>
      <c r="Q3" s="55"/>
      <c r="R3" s="34" t="s">
        <v>4</v>
      </c>
      <c r="S3" s="52"/>
      <c r="T3" s="34" t="s">
        <v>4</v>
      </c>
      <c r="U3" s="34" t="s">
        <v>4</v>
      </c>
      <c r="V3" s="52"/>
    </row>
    <row r="4" spans="1:26" x14ac:dyDescent="0.25">
      <c r="A4" s="58"/>
      <c r="B4" s="59"/>
      <c r="C4" s="35" t="s">
        <v>167</v>
      </c>
      <c r="D4" s="6">
        <v>18</v>
      </c>
      <c r="E4" s="6">
        <v>25</v>
      </c>
      <c r="F4" s="6"/>
      <c r="G4" s="30">
        <v>1</v>
      </c>
      <c r="H4" s="30">
        <v>8</v>
      </c>
      <c r="I4" s="30"/>
      <c r="J4" s="30">
        <v>22</v>
      </c>
      <c r="K4" s="30">
        <v>29</v>
      </c>
      <c r="L4" s="27"/>
      <c r="M4" s="30">
        <v>12</v>
      </c>
      <c r="N4" s="7"/>
      <c r="O4" s="34">
        <v>19</v>
      </c>
      <c r="P4" s="34">
        <v>26</v>
      </c>
      <c r="Q4" s="7"/>
      <c r="R4" s="34">
        <v>10</v>
      </c>
      <c r="S4" s="7"/>
      <c r="T4" s="34">
        <v>17</v>
      </c>
      <c r="U4" s="34">
        <v>24</v>
      </c>
      <c r="V4" s="7"/>
    </row>
    <row r="5" spans="1:26" s="26" customFormat="1" ht="21" customHeight="1" x14ac:dyDescent="0.25">
      <c r="A5" s="57" t="s">
        <v>0</v>
      </c>
      <c r="B5" s="57"/>
      <c r="C5" s="28"/>
      <c r="D5" s="25">
        <v>2</v>
      </c>
      <c r="E5" s="25">
        <v>2</v>
      </c>
      <c r="F5" s="36">
        <f>SUM(D5:E5)</f>
        <v>4</v>
      </c>
      <c r="G5" s="25">
        <v>2</v>
      </c>
      <c r="H5" s="25">
        <v>2</v>
      </c>
      <c r="I5" s="36">
        <f>SUM(G5:H5)</f>
        <v>4</v>
      </c>
      <c r="J5" s="25">
        <v>2</v>
      </c>
      <c r="K5" s="25">
        <v>2</v>
      </c>
      <c r="L5" s="36">
        <f>SUM(J5:K5)</f>
        <v>4</v>
      </c>
      <c r="M5" s="24">
        <v>2</v>
      </c>
      <c r="N5" s="38">
        <f>SUM(M5:M5)</f>
        <v>2</v>
      </c>
      <c r="O5" s="24">
        <v>2</v>
      </c>
      <c r="P5" s="24">
        <v>2</v>
      </c>
      <c r="Q5" s="38">
        <f t="shared" ref="Q5:Q36" si="0">SUM(O5:P5)</f>
        <v>4</v>
      </c>
      <c r="R5" s="25">
        <v>2</v>
      </c>
      <c r="S5" s="38">
        <f t="shared" ref="S5:S36" si="1">SUM(R5:R5)</f>
        <v>2</v>
      </c>
      <c r="T5" s="25">
        <v>2</v>
      </c>
      <c r="U5" s="24">
        <v>2</v>
      </c>
      <c r="V5" s="38">
        <f t="shared" ref="V5:V36" si="2">SUM(T5:U5)</f>
        <v>4</v>
      </c>
      <c r="Y5" s="28">
        <f>F5+I5+L5+N5+Q5+S5+V5</f>
        <v>24</v>
      </c>
      <c r="Z5" s="28"/>
    </row>
    <row r="6" spans="1:26" ht="18.75" x14ac:dyDescent="0.3">
      <c r="A6" s="2">
        <v>1</v>
      </c>
      <c r="B6" s="16" t="s">
        <v>36</v>
      </c>
      <c r="C6" s="20" t="s">
        <v>37</v>
      </c>
      <c r="D6" s="3">
        <v>2</v>
      </c>
      <c r="E6" s="3">
        <v>2</v>
      </c>
      <c r="F6" s="36">
        <f t="shared" ref="F6:F69" si="3">SUM(D6:E6)</f>
        <v>4</v>
      </c>
      <c r="G6" s="3">
        <v>2</v>
      </c>
      <c r="H6" s="3">
        <v>2</v>
      </c>
      <c r="I6" s="36">
        <f t="shared" ref="I6:I69" si="4">SUM(G6:H6)</f>
        <v>4</v>
      </c>
      <c r="J6" s="3">
        <v>2</v>
      </c>
      <c r="K6" s="3">
        <v>2</v>
      </c>
      <c r="L6" s="36">
        <f t="shared" ref="L6:L69" si="5">SUM(J6:K6)</f>
        <v>4</v>
      </c>
      <c r="M6" s="3">
        <v>2</v>
      </c>
      <c r="N6" s="38">
        <f t="shared" ref="N6:N69" si="6">SUM(M6:M6)</f>
        <v>2</v>
      </c>
      <c r="O6" s="3">
        <v>0</v>
      </c>
      <c r="P6" s="3">
        <v>0</v>
      </c>
      <c r="Q6" s="43">
        <f t="shared" si="0"/>
        <v>0</v>
      </c>
      <c r="R6" s="3">
        <v>2</v>
      </c>
      <c r="S6" s="43">
        <f t="shared" si="1"/>
        <v>2</v>
      </c>
      <c r="T6" s="3">
        <v>0</v>
      </c>
      <c r="U6" s="3">
        <v>2</v>
      </c>
      <c r="V6" s="43">
        <f t="shared" si="2"/>
        <v>2</v>
      </c>
      <c r="Y6" s="22">
        <f>F6+I6+L6+N6+Q6+S6+V6</f>
        <v>18</v>
      </c>
      <c r="Z6" s="22">
        <f>Y6/24*100</f>
        <v>75</v>
      </c>
    </row>
    <row r="7" spans="1:26" ht="18.75" x14ac:dyDescent="0.3">
      <c r="A7" s="2">
        <v>2</v>
      </c>
      <c r="B7" s="16" t="s">
        <v>38</v>
      </c>
      <c r="C7" s="20" t="s">
        <v>39</v>
      </c>
      <c r="D7" s="3">
        <v>2</v>
      </c>
      <c r="E7" s="3">
        <v>0</v>
      </c>
      <c r="F7" s="36">
        <f t="shared" si="3"/>
        <v>2</v>
      </c>
      <c r="G7" s="3">
        <v>2</v>
      </c>
      <c r="H7" s="3">
        <v>2</v>
      </c>
      <c r="I7" s="36">
        <f t="shared" si="4"/>
        <v>4</v>
      </c>
      <c r="J7" s="3">
        <v>2</v>
      </c>
      <c r="K7" s="3">
        <v>2</v>
      </c>
      <c r="L7" s="36">
        <f t="shared" si="5"/>
        <v>4</v>
      </c>
      <c r="M7" s="3">
        <v>2</v>
      </c>
      <c r="N7" s="38">
        <f t="shared" si="6"/>
        <v>2</v>
      </c>
      <c r="O7" s="3">
        <v>2</v>
      </c>
      <c r="P7" s="3">
        <v>2</v>
      </c>
      <c r="Q7" s="43">
        <f t="shared" si="0"/>
        <v>4</v>
      </c>
      <c r="R7" s="3">
        <v>2</v>
      </c>
      <c r="S7" s="43">
        <f t="shared" si="1"/>
        <v>2</v>
      </c>
      <c r="T7" s="3">
        <v>2</v>
      </c>
      <c r="U7" s="3">
        <v>2</v>
      </c>
      <c r="V7" s="43">
        <f t="shared" si="2"/>
        <v>4</v>
      </c>
      <c r="Y7" s="22">
        <f t="shared" ref="Y7:Y70" si="7">F7+I7+L7+N7+Q7+S7+V7</f>
        <v>22</v>
      </c>
      <c r="Z7" s="22">
        <f t="shared" ref="Z7:Z70" si="8">Y7/24*100</f>
        <v>91.666666666666657</v>
      </c>
    </row>
    <row r="8" spans="1:26" ht="18.75" x14ac:dyDescent="0.3">
      <c r="A8" s="2">
        <v>3</v>
      </c>
      <c r="B8" s="16" t="s">
        <v>40</v>
      </c>
      <c r="C8" s="20" t="s">
        <v>41</v>
      </c>
      <c r="D8" s="3">
        <v>2</v>
      </c>
      <c r="E8" s="3">
        <v>2</v>
      </c>
      <c r="F8" s="36">
        <f t="shared" si="3"/>
        <v>4</v>
      </c>
      <c r="G8" s="3">
        <v>0</v>
      </c>
      <c r="H8" s="3">
        <v>2</v>
      </c>
      <c r="I8" s="36">
        <f t="shared" si="4"/>
        <v>2</v>
      </c>
      <c r="J8" s="3">
        <v>2</v>
      </c>
      <c r="K8" s="3">
        <v>2</v>
      </c>
      <c r="L8" s="36">
        <f t="shared" si="5"/>
        <v>4</v>
      </c>
      <c r="M8" s="3">
        <v>2</v>
      </c>
      <c r="N8" s="38">
        <f t="shared" si="6"/>
        <v>2</v>
      </c>
      <c r="O8" s="3">
        <v>2</v>
      </c>
      <c r="P8" s="3">
        <v>2</v>
      </c>
      <c r="Q8" s="43">
        <f t="shared" si="0"/>
        <v>4</v>
      </c>
      <c r="R8" s="3">
        <v>2</v>
      </c>
      <c r="S8" s="43">
        <f t="shared" si="1"/>
        <v>2</v>
      </c>
      <c r="T8" s="3">
        <v>2</v>
      </c>
      <c r="U8" s="3">
        <v>2</v>
      </c>
      <c r="V8" s="43">
        <f t="shared" si="2"/>
        <v>4</v>
      </c>
      <c r="Y8" s="22">
        <f t="shared" si="7"/>
        <v>22</v>
      </c>
      <c r="Z8" s="22">
        <f t="shared" si="8"/>
        <v>91.666666666666657</v>
      </c>
    </row>
    <row r="9" spans="1:26" ht="18.75" x14ac:dyDescent="0.3">
      <c r="A9" s="2">
        <v>4</v>
      </c>
      <c r="B9" s="16" t="s">
        <v>42</v>
      </c>
      <c r="C9" s="20" t="s">
        <v>43</v>
      </c>
      <c r="D9" s="3">
        <v>2</v>
      </c>
      <c r="E9" s="3">
        <v>2</v>
      </c>
      <c r="F9" s="36">
        <f t="shared" si="3"/>
        <v>4</v>
      </c>
      <c r="G9" s="3">
        <v>2</v>
      </c>
      <c r="H9" s="3">
        <v>0</v>
      </c>
      <c r="I9" s="36">
        <f t="shared" si="4"/>
        <v>2</v>
      </c>
      <c r="J9" s="3">
        <v>2</v>
      </c>
      <c r="K9" s="3">
        <v>2</v>
      </c>
      <c r="L9" s="36">
        <f t="shared" si="5"/>
        <v>4</v>
      </c>
      <c r="M9" s="3">
        <v>2</v>
      </c>
      <c r="N9" s="38">
        <f t="shared" si="6"/>
        <v>2</v>
      </c>
      <c r="O9" s="3">
        <v>2</v>
      </c>
      <c r="P9" s="3">
        <v>2</v>
      </c>
      <c r="Q9" s="43">
        <f t="shared" si="0"/>
        <v>4</v>
      </c>
      <c r="R9" s="3">
        <v>2</v>
      </c>
      <c r="S9" s="43">
        <f t="shared" si="1"/>
        <v>2</v>
      </c>
      <c r="T9" s="3">
        <v>2</v>
      </c>
      <c r="U9" s="3">
        <v>2</v>
      </c>
      <c r="V9" s="43">
        <f t="shared" si="2"/>
        <v>4</v>
      </c>
      <c r="Y9" s="22">
        <f t="shared" si="7"/>
        <v>22</v>
      </c>
      <c r="Z9" s="22">
        <f t="shared" si="8"/>
        <v>91.666666666666657</v>
      </c>
    </row>
    <row r="10" spans="1:26" ht="18.75" x14ac:dyDescent="0.3">
      <c r="A10" s="2">
        <v>5</v>
      </c>
      <c r="B10" s="16" t="s">
        <v>44</v>
      </c>
      <c r="C10" s="20" t="s">
        <v>45</v>
      </c>
      <c r="D10" s="3">
        <v>2</v>
      </c>
      <c r="E10" s="3">
        <v>2</v>
      </c>
      <c r="F10" s="36">
        <f t="shared" si="3"/>
        <v>4</v>
      </c>
      <c r="G10" s="3">
        <v>2</v>
      </c>
      <c r="H10" s="3">
        <v>2</v>
      </c>
      <c r="I10" s="36">
        <f t="shared" si="4"/>
        <v>4</v>
      </c>
      <c r="J10" s="3">
        <v>0</v>
      </c>
      <c r="K10" s="3">
        <v>2</v>
      </c>
      <c r="L10" s="36">
        <f t="shared" si="5"/>
        <v>2</v>
      </c>
      <c r="M10" s="3">
        <v>2</v>
      </c>
      <c r="N10" s="38">
        <f t="shared" si="6"/>
        <v>2</v>
      </c>
      <c r="O10" s="3">
        <v>2</v>
      </c>
      <c r="P10" s="3">
        <v>2</v>
      </c>
      <c r="Q10" s="43">
        <f t="shared" si="0"/>
        <v>4</v>
      </c>
      <c r="R10" s="3">
        <v>2</v>
      </c>
      <c r="S10" s="43">
        <f t="shared" si="1"/>
        <v>2</v>
      </c>
      <c r="T10" s="3">
        <v>2</v>
      </c>
      <c r="U10" s="3">
        <v>2</v>
      </c>
      <c r="V10" s="43">
        <f t="shared" si="2"/>
        <v>4</v>
      </c>
      <c r="Y10" s="22">
        <f t="shared" si="7"/>
        <v>22</v>
      </c>
      <c r="Z10" s="22">
        <f t="shared" si="8"/>
        <v>91.666666666666657</v>
      </c>
    </row>
    <row r="11" spans="1:26" ht="18.75" x14ac:dyDescent="0.3">
      <c r="A11" s="2">
        <v>6</v>
      </c>
      <c r="B11" s="16" t="s">
        <v>46</v>
      </c>
      <c r="C11" s="20" t="s">
        <v>47</v>
      </c>
      <c r="D11" s="3">
        <v>2</v>
      </c>
      <c r="E11" s="3">
        <v>2</v>
      </c>
      <c r="F11" s="36">
        <f t="shared" si="3"/>
        <v>4</v>
      </c>
      <c r="G11" s="3">
        <v>2</v>
      </c>
      <c r="H11" s="3">
        <v>2</v>
      </c>
      <c r="I11" s="36">
        <f t="shared" si="4"/>
        <v>4</v>
      </c>
      <c r="J11" s="3">
        <v>2</v>
      </c>
      <c r="K11" s="3">
        <v>0</v>
      </c>
      <c r="L11" s="36">
        <f t="shared" si="5"/>
        <v>2</v>
      </c>
      <c r="M11" s="3">
        <v>2</v>
      </c>
      <c r="N11" s="38">
        <f t="shared" si="6"/>
        <v>2</v>
      </c>
      <c r="O11" s="3">
        <v>2</v>
      </c>
      <c r="P11" s="3">
        <v>2</v>
      </c>
      <c r="Q11" s="43">
        <f t="shared" si="0"/>
        <v>4</v>
      </c>
      <c r="R11" s="3">
        <v>2</v>
      </c>
      <c r="S11" s="43">
        <f t="shared" si="1"/>
        <v>2</v>
      </c>
      <c r="T11" s="3">
        <v>2</v>
      </c>
      <c r="U11" s="3">
        <v>2</v>
      </c>
      <c r="V11" s="43">
        <f t="shared" si="2"/>
        <v>4</v>
      </c>
      <c r="Y11" s="22">
        <f t="shared" si="7"/>
        <v>22</v>
      </c>
      <c r="Z11" s="22">
        <f t="shared" si="8"/>
        <v>91.666666666666657</v>
      </c>
    </row>
    <row r="12" spans="1:26" ht="18.75" x14ac:dyDescent="0.3">
      <c r="A12" s="2">
        <v>7</v>
      </c>
      <c r="B12" s="16" t="s">
        <v>48</v>
      </c>
      <c r="C12" s="20" t="s">
        <v>49</v>
      </c>
      <c r="D12" s="3">
        <v>2</v>
      </c>
      <c r="E12" s="3">
        <v>2</v>
      </c>
      <c r="F12" s="36">
        <f t="shared" si="3"/>
        <v>4</v>
      </c>
      <c r="G12" s="3">
        <v>2</v>
      </c>
      <c r="H12" s="3">
        <v>2</v>
      </c>
      <c r="I12" s="36">
        <f t="shared" si="4"/>
        <v>4</v>
      </c>
      <c r="J12" s="3">
        <v>2</v>
      </c>
      <c r="K12" s="3">
        <v>2</v>
      </c>
      <c r="L12" s="36">
        <f t="shared" si="5"/>
        <v>4</v>
      </c>
      <c r="M12" s="3">
        <v>0</v>
      </c>
      <c r="N12" s="38">
        <f t="shared" si="6"/>
        <v>0</v>
      </c>
      <c r="O12" s="3">
        <v>2</v>
      </c>
      <c r="P12" s="3">
        <v>2</v>
      </c>
      <c r="Q12" s="43">
        <f t="shared" si="0"/>
        <v>4</v>
      </c>
      <c r="R12" s="3">
        <v>2</v>
      </c>
      <c r="S12" s="43">
        <f t="shared" si="1"/>
        <v>2</v>
      </c>
      <c r="T12" s="3">
        <v>2</v>
      </c>
      <c r="U12" s="3">
        <v>2</v>
      </c>
      <c r="V12" s="43">
        <f t="shared" si="2"/>
        <v>4</v>
      </c>
      <c r="Y12" s="22">
        <f t="shared" si="7"/>
        <v>22</v>
      </c>
      <c r="Z12" s="22">
        <f t="shared" si="8"/>
        <v>91.666666666666657</v>
      </c>
    </row>
    <row r="13" spans="1:26" ht="18.75" x14ac:dyDescent="0.3">
      <c r="A13" s="2">
        <v>8</v>
      </c>
      <c r="B13" s="16" t="s">
        <v>50</v>
      </c>
      <c r="C13" s="20" t="s">
        <v>51</v>
      </c>
      <c r="D13" s="3">
        <v>2</v>
      </c>
      <c r="E13" s="3">
        <v>2</v>
      </c>
      <c r="F13" s="36">
        <f t="shared" si="3"/>
        <v>4</v>
      </c>
      <c r="G13" s="3">
        <v>2</v>
      </c>
      <c r="H13" s="3">
        <v>2</v>
      </c>
      <c r="I13" s="36">
        <f t="shared" si="4"/>
        <v>4</v>
      </c>
      <c r="J13" s="3">
        <v>2</v>
      </c>
      <c r="K13" s="3">
        <v>2</v>
      </c>
      <c r="L13" s="36">
        <f t="shared" si="5"/>
        <v>4</v>
      </c>
      <c r="M13" s="3">
        <v>2</v>
      </c>
      <c r="N13" s="38">
        <f t="shared" si="6"/>
        <v>2</v>
      </c>
      <c r="O13" s="3">
        <v>0</v>
      </c>
      <c r="P13" s="3">
        <v>0</v>
      </c>
      <c r="Q13" s="43">
        <f t="shared" si="0"/>
        <v>0</v>
      </c>
      <c r="R13" s="3">
        <v>2</v>
      </c>
      <c r="S13" s="43">
        <f t="shared" si="1"/>
        <v>2</v>
      </c>
      <c r="T13" s="3">
        <v>2</v>
      </c>
      <c r="U13" s="3">
        <v>2</v>
      </c>
      <c r="V13" s="43">
        <f t="shared" si="2"/>
        <v>4</v>
      </c>
      <c r="Y13" s="22">
        <f t="shared" si="7"/>
        <v>20</v>
      </c>
      <c r="Z13" s="22">
        <f t="shared" si="8"/>
        <v>83.333333333333343</v>
      </c>
    </row>
    <row r="14" spans="1:26" ht="18.75" x14ac:dyDescent="0.3">
      <c r="A14" s="2">
        <v>9</v>
      </c>
      <c r="B14" s="16" t="s">
        <v>52</v>
      </c>
      <c r="C14" s="20" t="s">
        <v>53</v>
      </c>
      <c r="D14" s="3">
        <v>2</v>
      </c>
      <c r="E14" s="3">
        <v>2</v>
      </c>
      <c r="F14" s="36">
        <f t="shared" si="3"/>
        <v>4</v>
      </c>
      <c r="G14" s="3">
        <v>2</v>
      </c>
      <c r="H14" s="3">
        <v>2</v>
      </c>
      <c r="I14" s="36">
        <f t="shared" si="4"/>
        <v>4</v>
      </c>
      <c r="J14" s="3">
        <v>2</v>
      </c>
      <c r="K14" s="3">
        <v>0</v>
      </c>
      <c r="L14" s="36">
        <f t="shared" si="5"/>
        <v>2</v>
      </c>
      <c r="M14" s="3">
        <v>2</v>
      </c>
      <c r="N14" s="38">
        <f t="shared" si="6"/>
        <v>2</v>
      </c>
      <c r="O14" s="3">
        <v>2</v>
      </c>
      <c r="P14" s="3">
        <v>2</v>
      </c>
      <c r="Q14" s="43">
        <f t="shared" si="0"/>
        <v>4</v>
      </c>
      <c r="R14" s="3">
        <v>2</v>
      </c>
      <c r="S14" s="43">
        <f t="shared" si="1"/>
        <v>2</v>
      </c>
      <c r="T14" s="3">
        <v>2</v>
      </c>
      <c r="U14" s="3">
        <v>2</v>
      </c>
      <c r="V14" s="43">
        <f t="shared" si="2"/>
        <v>4</v>
      </c>
      <c r="Y14" s="22">
        <f t="shared" si="7"/>
        <v>22</v>
      </c>
      <c r="Z14" s="22">
        <f t="shared" si="8"/>
        <v>91.666666666666657</v>
      </c>
    </row>
    <row r="15" spans="1:26" ht="18.75" x14ac:dyDescent="0.3">
      <c r="A15" s="2">
        <v>10</v>
      </c>
      <c r="B15" s="16" t="s">
        <v>54</v>
      </c>
      <c r="C15" s="20" t="s">
        <v>55</v>
      </c>
      <c r="D15" s="3">
        <v>2</v>
      </c>
      <c r="E15" s="3">
        <v>2</v>
      </c>
      <c r="F15" s="36">
        <f t="shared" si="3"/>
        <v>4</v>
      </c>
      <c r="G15" s="3">
        <v>2</v>
      </c>
      <c r="H15" s="3">
        <v>2</v>
      </c>
      <c r="I15" s="36">
        <f t="shared" si="4"/>
        <v>4</v>
      </c>
      <c r="J15" s="3">
        <v>0</v>
      </c>
      <c r="K15" s="3">
        <v>2</v>
      </c>
      <c r="L15" s="36">
        <f t="shared" si="5"/>
        <v>2</v>
      </c>
      <c r="M15" s="3">
        <v>2</v>
      </c>
      <c r="N15" s="38">
        <f t="shared" si="6"/>
        <v>2</v>
      </c>
      <c r="O15" s="3">
        <v>2</v>
      </c>
      <c r="P15" s="3">
        <v>2</v>
      </c>
      <c r="Q15" s="43">
        <f t="shared" si="0"/>
        <v>4</v>
      </c>
      <c r="R15" s="3">
        <v>2</v>
      </c>
      <c r="S15" s="43">
        <f t="shared" si="1"/>
        <v>2</v>
      </c>
      <c r="T15" s="3">
        <v>2</v>
      </c>
      <c r="U15" s="3">
        <v>2</v>
      </c>
      <c r="V15" s="43">
        <f t="shared" si="2"/>
        <v>4</v>
      </c>
      <c r="Y15" s="22">
        <f t="shared" si="7"/>
        <v>22</v>
      </c>
      <c r="Z15" s="22">
        <f t="shared" si="8"/>
        <v>91.666666666666657</v>
      </c>
    </row>
    <row r="16" spans="1:26" ht="18.75" x14ac:dyDescent="0.3">
      <c r="A16" s="2">
        <v>11</v>
      </c>
      <c r="B16" s="16" t="s">
        <v>56</v>
      </c>
      <c r="C16" s="20" t="s">
        <v>57</v>
      </c>
      <c r="D16" s="3">
        <v>2</v>
      </c>
      <c r="E16" s="3">
        <v>2</v>
      </c>
      <c r="F16" s="36">
        <f t="shared" si="3"/>
        <v>4</v>
      </c>
      <c r="G16" s="3">
        <v>2</v>
      </c>
      <c r="H16" s="3">
        <v>0</v>
      </c>
      <c r="I16" s="36">
        <f t="shared" si="4"/>
        <v>2</v>
      </c>
      <c r="J16" s="3">
        <v>2</v>
      </c>
      <c r="K16" s="3">
        <v>2</v>
      </c>
      <c r="L16" s="36">
        <f t="shared" si="5"/>
        <v>4</v>
      </c>
      <c r="M16" s="3">
        <v>2</v>
      </c>
      <c r="N16" s="38">
        <f t="shared" si="6"/>
        <v>2</v>
      </c>
      <c r="O16" s="3">
        <v>2</v>
      </c>
      <c r="P16" s="3">
        <v>2</v>
      </c>
      <c r="Q16" s="43">
        <f t="shared" si="0"/>
        <v>4</v>
      </c>
      <c r="R16" s="3">
        <v>2</v>
      </c>
      <c r="S16" s="43">
        <f t="shared" si="1"/>
        <v>2</v>
      </c>
      <c r="T16" s="3">
        <v>2</v>
      </c>
      <c r="U16" s="3">
        <v>2</v>
      </c>
      <c r="V16" s="43">
        <f t="shared" si="2"/>
        <v>4</v>
      </c>
      <c r="Y16" s="22">
        <f t="shared" si="7"/>
        <v>22</v>
      </c>
      <c r="Z16" s="22">
        <f t="shared" si="8"/>
        <v>91.666666666666657</v>
      </c>
    </row>
    <row r="17" spans="1:26" ht="18.75" x14ac:dyDescent="0.3">
      <c r="A17" s="2">
        <v>12</v>
      </c>
      <c r="B17" s="16" t="s">
        <v>58</v>
      </c>
      <c r="C17" s="20" t="s">
        <v>59</v>
      </c>
      <c r="D17" s="3">
        <v>2</v>
      </c>
      <c r="E17" s="3">
        <v>2</v>
      </c>
      <c r="F17" s="36">
        <f t="shared" si="3"/>
        <v>4</v>
      </c>
      <c r="G17" s="3">
        <v>0</v>
      </c>
      <c r="H17" s="3">
        <v>2</v>
      </c>
      <c r="I17" s="36">
        <f t="shared" si="4"/>
        <v>2</v>
      </c>
      <c r="J17" s="3">
        <v>2</v>
      </c>
      <c r="K17" s="3">
        <v>2</v>
      </c>
      <c r="L17" s="36">
        <f t="shared" si="5"/>
        <v>4</v>
      </c>
      <c r="M17" s="3">
        <v>2</v>
      </c>
      <c r="N17" s="38">
        <f t="shared" si="6"/>
        <v>2</v>
      </c>
      <c r="O17" s="3">
        <v>2</v>
      </c>
      <c r="P17" s="3">
        <v>2</v>
      </c>
      <c r="Q17" s="43">
        <f t="shared" si="0"/>
        <v>4</v>
      </c>
      <c r="R17" s="3">
        <v>2</v>
      </c>
      <c r="S17" s="43">
        <f t="shared" si="1"/>
        <v>2</v>
      </c>
      <c r="T17" s="3">
        <v>2</v>
      </c>
      <c r="U17" s="3">
        <v>2</v>
      </c>
      <c r="V17" s="43">
        <f t="shared" si="2"/>
        <v>4</v>
      </c>
      <c r="Y17" s="22">
        <f t="shared" si="7"/>
        <v>22</v>
      </c>
      <c r="Z17" s="22">
        <f t="shared" si="8"/>
        <v>91.666666666666657</v>
      </c>
    </row>
    <row r="18" spans="1:26" ht="18.75" x14ac:dyDescent="0.3">
      <c r="A18" s="2">
        <v>13</v>
      </c>
      <c r="B18" s="16" t="s">
        <v>60</v>
      </c>
      <c r="C18" s="20" t="s">
        <v>61</v>
      </c>
      <c r="D18" s="3">
        <v>2</v>
      </c>
      <c r="E18" s="3">
        <v>0</v>
      </c>
      <c r="F18" s="36">
        <f t="shared" si="3"/>
        <v>2</v>
      </c>
      <c r="G18" s="3">
        <v>2</v>
      </c>
      <c r="H18" s="3">
        <v>2</v>
      </c>
      <c r="I18" s="36">
        <f t="shared" si="4"/>
        <v>4</v>
      </c>
      <c r="J18" s="3">
        <v>2</v>
      </c>
      <c r="K18" s="3">
        <v>2</v>
      </c>
      <c r="L18" s="36">
        <f t="shared" si="5"/>
        <v>4</v>
      </c>
      <c r="M18" s="3">
        <v>2</v>
      </c>
      <c r="N18" s="38">
        <f t="shared" si="6"/>
        <v>2</v>
      </c>
      <c r="O18" s="3">
        <v>2</v>
      </c>
      <c r="P18" s="3">
        <v>2</v>
      </c>
      <c r="Q18" s="43">
        <f t="shared" si="0"/>
        <v>4</v>
      </c>
      <c r="R18" s="3">
        <v>2</v>
      </c>
      <c r="S18" s="43">
        <f t="shared" si="1"/>
        <v>2</v>
      </c>
      <c r="T18" s="3">
        <v>2</v>
      </c>
      <c r="U18" s="3">
        <v>2</v>
      </c>
      <c r="V18" s="43">
        <f t="shared" si="2"/>
        <v>4</v>
      </c>
      <c r="Y18" s="22">
        <f t="shared" si="7"/>
        <v>22</v>
      </c>
      <c r="Z18" s="22">
        <f t="shared" si="8"/>
        <v>91.666666666666657</v>
      </c>
    </row>
    <row r="19" spans="1:26" ht="18.75" x14ac:dyDescent="0.3">
      <c r="A19" s="2">
        <v>14</v>
      </c>
      <c r="B19" s="16" t="s">
        <v>62</v>
      </c>
      <c r="C19" s="20" t="s">
        <v>63</v>
      </c>
      <c r="D19" s="3">
        <v>0</v>
      </c>
      <c r="E19" s="3">
        <v>2</v>
      </c>
      <c r="F19" s="36">
        <f t="shared" si="3"/>
        <v>2</v>
      </c>
      <c r="G19" s="3">
        <v>2</v>
      </c>
      <c r="H19" s="3">
        <v>2</v>
      </c>
      <c r="I19" s="36">
        <f t="shared" si="4"/>
        <v>4</v>
      </c>
      <c r="J19" s="3">
        <v>2</v>
      </c>
      <c r="K19" s="3">
        <v>2</v>
      </c>
      <c r="L19" s="36">
        <f t="shared" si="5"/>
        <v>4</v>
      </c>
      <c r="M19" s="3">
        <v>2</v>
      </c>
      <c r="N19" s="38">
        <f t="shared" si="6"/>
        <v>2</v>
      </c>
      <c r="O19" s="3">
        <v>2</v>
      </c>
      <c r="P19" s="3">
        <v>2</v>
      </c>
      <c r="Q19" s="43">
        <f t="shared" si="0"/>
        <v>4</v>
      </c>
      <c r="R19" s="3">
        <v>2</v>
      </c>
      <c r="S19" s="43">
        <f t="shared" si="1"/>
        <v>2</v>
      </c>
      <c r="T19" s="3">
        <v>2</v>
      </c>
      <c r="U19" s="3">
        <v>2</v>
      </c>
      <c r="V19" s="43">
        <f t="shared" si="2"/>
        <v>4</v>
      </c>
      <c r="Y19" s="22">
        <f t="shared" si="7"/>
        <v>22</v>
      </c>
      <c r="Z19" s="22">
        <f t="shared" si="8"/>
        <v>91.666666666666657</v>
      </c>
    </row>
    <row r="20" spans="1:26" ht="18.75" x14ac:dyDescent="0.3">
      <c r="A20" s="2">
        <v>15</v>
      </c>
      <c r="B20" s="16" t="s">
        <v>64</v>
      </c>
      <c r="C20" s="20" t="s">
        <v>65</v>
      </c>
      <c r="D20" s="3">
        <v>2</v>
      </c>
      <c r="E20" s="3">
        <v>0</v>
      </c>
      <c r="F20" s="36">
        <f t="shared" si="3"/>
        <v>2</v>
      </c>
      <c r="G20" s="3">
        <v>2</v>
      </c>
      <c r="H20" s="3">
        <v>2</v>
      </c>
      <c r="I20" s="36">
        <f t="shared" si="4"/>
        <v>4</v>
      </c>
      <c r="J20" s="3">
        <v>2</v>
      </c>
      <c r="K20" s="3">
        <v>2</v>
      </c>
      <c r="L20" s="36">
        <f t="shared" si="5"/>
        <v>4</v>
      </c>
      <c r="M20" s="3">
        <v>2</v>
      </c>
      <c r="N20" s="38">
        <f t="shared" si="6"/>
        <v>2</v>
      </c>
      <c r="O20" s="3">
        <v>2</v>
      </c>
      <c r="P20" s="3">
        <v>2</v>
      </c>
      <c r="Q20" s="43">
        <f t="shared" si="0"/>
        <v>4</v>
      </c>
      <c r="R20" s="3">
        <v>2</v>
      </c>
      <c r="S20" s="43">
        <f t="shared" si="1"/>
        <v>2</v>
      </c>
      <c r="T20" s="3">
        <v>2</v>
      </c>
      <c r="U20" s="3">
        <v>2</v>
      </c>
      <c r="V20" s="43">
        <f t="shared" si="2"/>
        <v>4</v>
      </c>
      <c r="Y20" s="22">
        <f t="shared" si="7"/>
        <v>22</v>
      </c>
      <c r="Z20" s="22">
        <f t="shared" si="8"/>
        <v>91.666666666666657</v>
      </c>
    </row>
    <row r="21" spans="1:26" ht="18.75" x14ac:dyDescent="0.3">
      <c r="A21" s="2">
        <v>16</v>
      </c>
      <c r="B21" s="16" t="s">
        <v>66</v>
      </c>
      <c r="C21" s="20" t="s">
        <v>67</v>
      </c>
      <c r="D21" s="3">
        <v>2</v>
      </c>
      <c r="E21" s="3">
        <v>2</v>
      </c>
      <c r="F21" s="36">
        <f t="shared" si="3"/>
        <v>4</v>
      </c>
      <c r="G21" s="3">
        <v>0</v>
      </c>
      <c r="H21" s="3">
        <v>2</v>
      </c>
      <c r="I21" s="36">
        <f t="shared" si="4"/>
        <v>2</v>
      </c>
      <c r="J21" s="3">
        <v>2</v>
      </c>
      <c r="K21" s="3">
        <v>2</v>
      </c>
      <c r="L21" s="36">
        <f t="shared" si="5"/>
        <v>4</v>
      </c>
      <c r="M21" s="3">
        <v>2</v>
      </c>
      <c r="N21" s="38">
        <f t="shared" si="6"/>
        <v>2</v>
      </c>
      <c r="O21" s="3">
        <v>2</v>
      </c>
      <c r="P21" s="3">
        <v>2</v>
      </c>
      <c r="Q21" s="43">
        <f t="shared" si="0"/>
        <v>4</v>
      </c>
      <c r="R21" s="3">
        <v>2</v>
      </c>
      <c r="S21" s="43">
        <f t="shared" si="1"/>
        <v>2</v>
      </c>
      <c r="T21" s="3">
        <v>2</v>
      </c>
      <c r="U21" s="3">
        <v>2</v>
      </c>
      <c r="V21" s="43">
        <f t="shared" si="2"/>
        <v>4</v>
      </c>
      <c r="Y21" s="22">
        <f t="shared" si="7"/>
        <v>22</v>
      </c>
      <c r="Z21" s="22">
        <f t="shared" si="8"/>
        <v>91.666666666666657</v>
      </c>
    </row>
    <row r="22" spans="1:26" ht="18.75" x14ac:dyDescent="0.3">
      <c r="A22" s="2">
        <v>17</v>
      </c>
      <c r="B22" s="16" t="s">
        <v>68</v>
      </c>
      <c r="C22" s="20" t="s">
        <v>69</v>
      </c>
      <c r="D22" s="3">
        <v>2</v>
      </c>
      <c r="E22" s="3">
        <v>2</v>
      </c>
      <c r="F22" s="36">
        <f t="shared" si="3"/>
        <v>4</v>
      </c>
      <c r="G22" s="3">
        <v>2</v>
      </c>
      <c r="H22" s="3">
        <v>0</v>
      </c>
      <c r="I22" s="36">
        <f t="shared" si="4"/>
        <v>2</v>
      </c>
      <c r="J22" s="3">
        <v>2</v>
      </c>
      <c r="K22" s="3">
        <v>2</v>
      </c>
      <c r="L22" s="36">
        <f t="shared" si="5"/>
        <v>4</v>
      </c>
      <c r="M22" s="3">
        <v>2</v>
      </c>
      <c r="N22" s="38">
        <f t="shared" si="6"/>
        <v>2</v>
      </c>
      <c r="O22" s="3">
        <v>2</v>
      </c>
      <c r="P22" s="3">
        <v>2</v>
      </c>
      <c r="Q22" s="43">
        <f t="shared" si="0"/>
        <v>4</v>
      </c>
      <c r="R22" s="3">
        <v>2</v>
      </c>
      <c r="S22" s="43">
        <f t="shared" si="1"/>
        <v>2</v>
      </c>
      <c r="T22" s="3">
        <v>2</v>
      </c>
      <c r="U22" s="3">
        <v>2</v>
      </c>
      <c r="V22" s="43">
        <f t="shared" si="2"/>
        <v>4</v>
      </c>
      <c r="Y22" s="22">
        <f t="shared" si="7"/>
        <v>22</v>
      </c>
      <c r="Z22" s="22">
        <f t="shared" si="8"/>
        <v>91.666666666666657</v>
      </c>
    </row>
    <row r="23" spans="1:26" ht="18.75" x14ac:dyDescent="0.3">
      <c r="A23" s="2">
        <v>18</v>
      </c>
      <c r="B23" s="16" t="s">
        <v>70</v>
      </c>
      <c r="C23" s="20" t="s">
        <v>71</v>
      </c>
      <c r="D23" s="3">
        <v>2</v>
      </c>
      <c r="E23" s="3">
        <v>2</v>
      </c>
      <c r="F23" s="36">
        <f t="shared" si="3"/>
        <v>4</v>
      </c>
      <c r="G23" s="3">
        <v>2</v>
      </c>
      <c r="H23" s="3">
        <v>2</v>
      </c>
      <c r="I23" s="36">
        <f t="shared" si="4"/>
        <v>4</v>
      </c>
      <c r="J23" s="3">
        <v>0</v>
      </c>
      <c r="K23" s="3">
        <v>2</v>
      </c>
      <c r="L23" s="36">
        <f t="shared" si="5"/>
        <v>2</v>
      </c>
      <c r="M23" s="3">
        <v>2</v>
      </c>
      <c r="N23" s="38">
        <f t="shared" si="6"/>
        <v>2</v>
      </c>
      <c r="O23" s="3">
        <v>2</v>
      </c>
      <c r="P23" s="3">
        <v>2</v>
      </c>
      <c r="Q23" s="43">
        <f t="shared" si="0"/>
        <v>4</v>
      </c>
      <c r="R23" s="3">
        <v>2</v>
      </c>
      <c r="S23" s="43">
        <f t="shared" si="1"/>
        <v>2</v>
      </c>
      <c r="T23" s="3">
        <v>2</v>
      </c>
      <c r="U23" s="3">
        <v>2</v>
      </c>
      <c r="V23" s="43">
        <f t="shared" si="2"/>
        <v>4</v>
      </c>
      <c r="Y23" s="22">
        <f t="shared" si="7"/>
        <v>22</v>
      </c>
      <c r="Z23" s="22">
        <f t="shared" si="8"/>
        <v>91.666666666666657</v>
      </c>
    </row>
    <row r="24" spans="1:26" ht="18" x14ac:dyDescent="0.35">
      <c r="A24" s="2">
        <v>19</v>
      </c>
      <c r="B24" s="16" t="s">
        <v>72</v>
      </c>
      <c r="C24" s="20" t="s">
        <v>73</v>
      </c>
      <c r="D24" s="3">
        <v>2</v>
      </c>
      <c r="E24" s="3">
        <v>2</v>
      </c>
      <c r="F24" s="36">
        <f t="shared" si="3"/>
        <v>4</v>
      </c>
      <c r="G24" s="3">
        <v>2</v>
      </c>
      <c r="H24" s="3">
        <v>2</v>
      </c>
      <c r="I24" s="36">
        <f t="shared" si="4"/>
        <v>4</v>
      </c>
      <c r="J24" s="3">
        <v>2</v>
      </c>
      <c r="K24" s="3">
        <v>0</v>
      </c>
      <c r="L24" s="36">
        <f t="shared" si="5"/>
        <v>2</v>
      </c>
      <c r="M24" s="3">
        <v>2</v>
      </c>
      <c r="N24" s="38">
        <f t="shared" si="6"/>
        <v>2</v>
      </c>
      <c r="O24" s="3">
        <v>2</v>
      </c>
      <c r="P24" s="3">
        <v>2</v>
      </c>
      <c r="Q24" s="43">
        <f t="shared" si="0"/>
        <v>4</v>
      </c>
      <c r="R24" s="3">
        <v>2</v>
      </c>
      <c r="S24" s="43">
        <f t="shared" si="1"/>
        <v>2</v>
      </c>
      <c r="T24" s="3">
        <v>2</v>
      </c>
      <c r="U24" s="3">
        <v>2</v>
      </c>
      <c r="V24" s="43">
        <f t="shared" si="2"/>
        <v>4</v>
      </c>
      <c r="Y24" s="22">
        <f t="shared" si="7"/>
        <v>22</v>
      </c>
      <c r="Z24" s="22">
        <f t="shared" si="8"/>
        <v>91.666666666666657</v>
      </c>
    </row>
    <row r="25" spans="1:26" ht="18" x14ac:dyDescent="0.35">
      <c r="A25" s="2">
        <v>20</v>
      </c>
      <c r="B25" s="16" t="s">
        <v>74</v>
      </c>
      <c r="C25" s="20" t="s">
        <v>75</v>
      </c>
      <c r="D25" s="3">
        <v>2</v>
      </c>
      <c r="E25" s="3">
        <v>2</v>
      </c>
      <c r="F25" s="36">
        <f t="shared" si="3"/>
        <v>4</v>
      </c>
      <c r="G25" s="3">
        <v>2</v>
      </c>
      <c r="H25" s="3">
        <v>2</v>
      </c>
      <c r="I25" s="36">
        <f t="shared" si="4"/>
        <v>4</v>
      </c>
      <c r="J25" s="3">
        <v>2</v>
      </c>
      <c r="K25" s="3">
        <v>2</v>
      </c>
      <c r="L25" s="36">
        <f t="shared" si="5"/>
        <v>4</v>
      </c>
      <c r="M25" s="3">
        <v>0</v>
      </c>
      <c r="N25" s="38">
        <f t="shared" si="6"/>
        <v>0</v>
      </c>
      <c r="O25" s="3">
        <v>2</v>
      </c>
      <c r="P25" s="3">
        <v>2</v>
      </c>
      <c r="Q25" s="43">
        <f t="shared" si="0"/>
        <v>4</v>
      </c>
      <c r="R25" s="3">
        <v>2</v>
      </c>
      <c r="S25" s="43">
        <f t="shared" si="1"/>
        <v>2</v>
      </c>
      <c r="T25" s="3">
        <v>2</v>
      </c>
      <c r="U25" s="3">
        <v>2</v>
      </c>
      <c r="V25" s="43">
        <f t="shared" si="2"/>
        <v>4</v>
      </c>
      <c r="Y25" s="22">
        <f t="shared" si="7"/>
        <v>22</v>
      </c>
      <c r="Z25" s="22">
        <f t="shared" si="8"/>
        <v>91.666666666666657</v>
      </c>
    </row>
    <row r="26" spans="1:26" ht="18" x14ac:dyDescent="0.35">
      <c r="A26" s="2">
        <v>21</v>
      </c>
      <c r="B26" s="16" t="s">
        <v>76</v>
      </c>
      <c r="C26" s="20" t="s">
        <v>77</v>
      </c>
      <c r="D26" s="3">
        <v>2</v>
      </c>
      <c r="E26" s="3">
        <v>2</v>
      </c>
      <c r="F26" s="36">
        <f t="shared" si="3"/>
        <v>4</v>
      </c>
      <c r="G26" s="3">
        <v>2</v>
      </c>
      <c r="H26" s="3">
        <v>2</v>
      </c>
      <c r="I26" s="36">
        <f t="shared" si="4"/>
        <v>4</v>
      </c>
      <c r="J26" s="3">
        <v>2</v>
      </c>
      <c r="K26" s="3">
        <v>2</v>
      </c>
      <c r="L26" s="36">
        <f t="shared" si="5"/>
        <v>4</v>
      </c>
      <c r="M26" s="3">
        <v>2</v>
      </c>
      <c r="N26" s="38">
        <f t="shared" si="6"/>
        <v>2</v>
      </c>
      <c r="O26" s="3">
        <v>0</v>
      </c>
      <c r="P26" s="3">
        <v>0</v>
      </c>
      <c r="Q26" s="43">
        <f t="shared" si="0"/>
        <v>0</v>
      </c>
      <c r="R26" s="3">
        <v>2</v>
      </c>
      <c r="S26" s="43">
        <f t="shared" si="1"/>
        <v>2</v>
      </c>
      <c r="T26" s="3">
        <v>0</v>
      </c>
      <c r="U26" s="3">
        <v>2</v>
      </c>
      <c r="V26" s="43">
        <f t="shared" si="2"/>
        <v>2</v>
      </c>
      <c r="Y26" s="22">
        <f t="shared" si="7"/>
        <v>18</v>
      </c>
      <c r="Z26" s="22">
        <f t="shared" si="8"/>
        <v>75</v>
      </c>
    </row>
    <row r="27" spans="1:26" ht="18" x14ac:dyDescent="0.35">
      <c r="A27" s="2">
        <v>22</v>
      </c>
      <c r="B27" s="16" t="s">
        <v>78</v>
      </c>
      <c r="C27" s="20" t="s">
        <v>79</v>
      </c>
      <c r="D27" s="3">
        <v>2</v>
      </c>
      <c r="E27" s="3">
        <v>2</v>
      </c>
      <c r="F27" s="36">
        <f t="shared" si="3"/>
        <v>4</v>
      </c>
      <c r="G27" s="3">
        <v>2</v>
      </c>
      <c r="H27" s="3">
        <v>2</v>
      </c>
      <c r="I27" s="36">
        <f t="shared" si="4"/>
        <v>4</v>
      </c>
      <c r="J27" s="3">
        <v>2</v>
      </c>
      <c r="K27" s="3">
        <v>2</v>
      </c>
      <c r="L27" s="36">
        <f t="shared" si="5"/>
        <v>4</v>
      </c>
      <c r="M27" s="3">
        <v>2</v>
      </c>
      <c r="N27" s="38">
        <f t="shared" si="6"/>
        <v>2</v>
      </c>
      <c r="O27" s="3">
        <v>2</v>
      </c>
      <c r="P27" s="3">
        <v>2</v>
      </c>
      <c r="Q27" s="43">
        <f t="shared" si="0"/>
        <v>4</v>
      </c>
      <c r="R27" s="3">
        <v>2</v>
      </c>
      <c r="S27" s="43">
        <f t="shared" si="1"/>
        <v>2</v>
      </c>
      <c r="T27" s="3">
        <v>2</v>
      </c>
      <c r="U27" s="3">
        <v>2</v>
      </c>
      <c r="V27" s="43">
        <f t="shared" si="2"/>
        <v>4</v>
      </c>
      <c r="Y27" s="22">
        <f t="shared" si="7"/>
        <v>24</v>
      </c>
      <c r="Z27" s="22">
        <f t="shared" si="8"/>
        <v>100</v>
      </c>
    </row>
    <row r="28" spans="1:26" ht="18" x14ac:dyDescent="0.35">
      <c r="A28" s="2">
        <v>23</v>
      </c>
      <c r="B28" s="16" t="s">
        <v>80</v>
      </c>
      <c r="C28" s="20" t="s">
        <v>81</v>
      </c>
      <c r="D28" s="3">
        <v>2</v>
      </c>
      <c r="E28" s="3">
        <v>2</v>
      </c>
      <c r="F28" s="36">
        <f t="shared" si="3"/>
        <v>4</v>
      </c>
      <c r="G28" s="3">
        <v>2</v>
      </c>
      <c r="H28" s="3">
        <v>2</v>
      </c>
      <c r="I28" s="36">
        <f t="shared" si="4"/>
        <v>4</v>
      </c>
      <c r="J28" s="3">
        <v>2</v>
      </c>
      <c r="K28" s="3">
        <v>2</v>
      </c>
      <c r="L28" s="36">
        <f t="shared" si="5"/>
        <v>4</v>
      </c>
      <c r="M28" s="3">
        <v>2</v>
      </c>
      <c r="N28" s="38">
        <f t="shared" si="6"/>
        <v>2</v>
      </c>
      <c r="O28" s="3">
        <v>2</v>
      </c>
      <c r="P28" s="3">
        <v>2</v>
      </c>
      <c r="Q28" s="43">
        <f t="shared" si="0"/>
        <v>4</v>
      </c>
      <c r="R28" s="3">
        <v>2</v>
      </c>
      <c r="S28" s="43">
        <f t="shared" si="1"/>
        <v>2</v>
      </c>
      <c r="T28" s="3">
        <v>0</v>
      </c>
      <c r="U28" s="3">
        <v>2</v>
      </c>
      <c r="V28" s="43">
        <f t="shared" si="2"/>
        <v>2</v>
      </c>
      <c r="Y28" s="22">
        <f t="shared" si="7"/>
        <v>22</v>
      </c>
      <c r="Z28" s="22">
        <f t="shared" si="8"/>
        <v>91.666666666666657</v>
      </c>
    </row>
    <row r="29" spans="1:26" ht="18" x14ac:dyDescent="0.35">
      <c r="A29" s="2">
        <v>24</v>
      </c>
      <c r="B29" s="16" t="s">
        <v>82</v>
      </c>
      <c r="C29" s="20" t="s">
        <v>83</v>
      </c>
      <c r="D29" s="3">
        <v>2</v>
      </c>
      <c r="E29" s="3">
        <v>2</v>
      </c>
      <c r="F29" s="36">
        <f t="shared" si="3"/>
        <v>4</v>
      </c>
      <c r="G29" s="3">
        <v>2</v>
      </c>
      <c r="H29" s="3">
        <v>2</v>
      </c>
      <c r="I29" s="36">
        <f t="shared" si="4"/>
        <v>4</v>
      </c>
      <c r="J29" s="3">
        <v>2</v>
      </c>
      <c r="K29" s="3">
        <v>0</v>
      </c>
      <c r="L29" s="36">
        <f t="shared" si="5"/>
        <v>2</v>
      </c>
      <c r="M29" s="3">
        <v>2</v>
      </c>
      <c r="N29" s="38">
        <f t="shared" si="6"/>
        <v>2</v>
      </c>
      <c r="O29" s="3">
        <v>2</v>
      </c>
      <c r="P29" s="3">
        <v>2</v>
      </c>
      <c r="Q29" s="43">
        <f t="shared" si="0"/>
        <v>4</v>
      </c>
      <c r="R29" s="3">
        <v>2</v>
      </c>
      <c r="S29" s="43">
        <f t="shared" si="1"/>
        <v>2</v>
      </c>
      <c r="T29" s="3">
        <v>2</v>
      </c>
      <c r="U29" s="3">
        <v>2</v>
      </c>
      <c r="V29" s="43">
        <f t="shared" si="2"/>
        <v>4</v>
      </c>
      <c r="Y29" s="22">
        <f t="shared" si="7"/>
        <v>22</v>
      </c>
      <c r="Z29" s="22">
        <f t="shared" si="8"/>
        <v>91.666666666666657</v>
      </c>
    </row>
    <row r="30" spans="1:26" ht="18" x14ac:dyDescent="0.35">
      <c r="A30" s="2">
        <v>25</v>
      </c>
      <c r="B30" s="16" t="s">
        <v>84</v>
      </c>
      <c r="C30" s="20" t="s">
        <v>85</v>
      </c>
      <c r="D30" s="3">
        <v>2</v>
      </c>
      <c r="E30" s="3">
        <v>2</v>
      </c>
      <c r="F30" s="36">
        <f t="shared" si="3"/>
        <v>4</v>
      </c>
      <c r="G30" s="3">
        <v>2</v>
      </c>
      <c r="H30" s="3">
        <v>2</v>
      </c>
      <c r="I30" s="36">
        <f t="shared" si="4"/>
        <v>4</v>
      </c>
      <c r="J30" s="3">
        <v>0</v>
      </c>
      <c r="K30" s="3">
        <v>2</v>
      </c>
      <c r="L30" s="36">
        <f t="shared" si="5"/>
        <v>2</v>
      </c>
      <c r="M30" s="3">
        <v>2</v>
      </c>
      <c r="N30" s="38">
        <f t="shared" si="6"/>
        <v>2</v>
      </c>
      <c r="O30" s="3">
        <v>2</v>
      </c>
      <c r="P30" s="3">
        <v>2</v>
      </c>
      <c r="Q30" s="43">
        <f t="shared" si="0"/>
        <v>4</v>
      </c>
      <c r="R30" s="3">
        <v>2</v>
      </c>
      <c r="S30" s="43">
        <f t="shared" si="1"/>
        <v>2</v>
      </c>
      <c r="T30" s="3">
        <v>2</v>
      </c>
      <c r="U30" s="3">
        <v>2</v>
      </c>
      <c r="V30" s="43">
        <f t="shared" si="2"/>
        <v>4</v>
      </c>
      <c r="Y30" s="22">
        <f t="shared" si="7"/>
        <v>22</v>
      </c>
      <c r="Z30" s="22">
        <f t="shared" si="8"/>
        <v>91.666666666666657</v>
      </c>
    </row>
    <row r="31" spans="1:26" ht="18" x14ac:dyDescent="0.35">
      <c r="A31" s="2">
        <v>26</v>
      </c>
      <c r="B31" s="16" t="s">
        <v>86</v>
      </c>
      <c r="C31" s="20" t="s">
        <v>87</v>
      </c>
      <c r="D31" s="3">
        <v>2</v>
      </c>
      <c r="E31" s="3">
        <v>2</v>
      </c>
      <c r="F31" s="36">
        <f t="shared" si="3"/>
        <v>4</v>
      </c>
      <c r="G31" s="3">
        <v>2</v>
      </c>
      <c r="H31" s="3">
        <v>0</v>
      </c>
      <c r="I31" s="36">
        <f t="shared" si="4"/>
        <v>2</v>
      </c>
      <c r="J31" s="3">
        <v>2</v>
      </c>
      <c r="K31" s="3">
        <v>2</v>
      </c>
      <c r="L31" s="36">
        <f t="shared" si="5"/>
        <v>4</v>
      </c>
      <c r="M31" s="3">
        <v>2</v>
      </c>
      <c r="N31" s="38">
        <f t="shared" si="6"/>
        <v>2</v>
      </c>
      <c r="O31" s="3">
        <v>2</v>
      </c>
      <c r="P31" s="3">
        <v>2</v>
      </c>
      <c r="Q31" s="43">
        <f t="shared" si="0"/>
        <v>4</v>
      </c>
      <c r="R31" s="3">
        <v>2</v>
      </c>
      <c r="S31" s="43">
        <f t="shared" si="1"/>
        <v>2</v>
      </c>
      <c r="T31" s="3">
        <v>2</v>
      </c>
      <c r="U31" s="3">
        <v>2</v>
      </c>
      <c r="V31" s="43">
        <f t="shared" si="2"/>
        <v>4</v>
      </c>
      <c r="Y31" s="22">
        <f t="shared" si="7"/>
        <v>22</v>
      </c>
      <c r="Z31" s="22">
        <f t="shared" si="8"/>
        <v>91.666666666666657</v>
      </c>
    </row>
    <row r="32" spans="1:26" ht="18" x14ac:dyDescent="0.35">
      <c r="A32" s="2">
        <v>27</v>
      </c>
      <c r="B32" s="16" t="s">
        <v>88</v>
      </c>
      <c r="C32" s="20" t="s">
        <v>89</v>
      </c>
      <c r="D32" s="3">
        <v>2</v>
      </c>
      <c r="E32" s="3">
        <v>2</v>
      </c>
      <c r="F32" s="36">
        <f t="shared" si="3"/>
        <v>4</v>
      </c>
      <c r="G32" s="3">
        <v>0</v>
      </c>
      <c r="H32" s="3">
        <v>2</v>
      </c>
      <c r="I32" s="36">
        <f t="shared" si="4"/>
        <v>2</v>
      </c>
      <c r="J32" s="3">
        <v>2</v>
      </c>
      <c r="K32" s="3">
        <v>2</v>
      </c>
      <c r="L32" s="36">
        <f t="shared" si="5"/>
        <v>4</v>
      </c>
      <c r="M32" s="3">
        <v>2</v>
      </c>
      <c r="N32" s="38">
        <f t="shared" si="6"/>
        <v>2</v>
      </c>
      <c r="O32" s="3">
        <v>2</v>
      </c>
      <c r="P32" s="3">
        <v>2</v>
      </c>
      <c r="Q32" s="43">
        <f t="shared" si="0"/>
        <v>4</v>
      </c>
      <c r="R32" s="3">
        <v>2</v>
      </c>
      <c r="S32" s="43">
        <f t="shared" si="1"/>
        <v>2</v>
      </c>
      <c r="T32" s="3">
        <v>2</v>
      </c>
      <c r="U32" s="3">
        <v>2</v>
      </c>
      <c r="V32" s="43">
        <f t="shared" si="2"/>
        <v>4</v>
      </c>
      <c r="Y32" s="22">
        <f t="shared" si="7"/>
        <v>22</v>
      </c>
      <c r="Z32" s="22">
        <f t="shared" si="8"/>
        <v>91.666666666666657</v>
      </c>
    </row>
    <row r="33" spans="1:26" ht="18" x14ac:dyDescent="0.35">
      <c r="A33" s="2">
        <v>28</v>
      </c>
      <c r="B33" s="16" t="s">
        <v>90</v>
      </c>
      <c r="C33" s="20" t="s">
        <v>91</v>
      </c>
      <c r="D33" s="3">
        <v>2</v>
      </c>
      <c r="E33" s="3">
        <v>0</v>
      </c>
      <c r="F33" s="36">
        <f t="shared" si="3"/>
        <v>2</v>
      </c>
      <c r="G33" s="3">
        <v>2</v>
      </c>
      <c r="H33" s="3">
        <v>2</v>
      </c>
      <c r="I33" s="36">
        <f t="shared" si="4"/>
        <v>4</v>
      </c>
      <c r="J33" s="3">
        <v>2</v>
      </c>
      <c r="K33" s="3">
        <v>2</v>
      </c>
      <c r="L33" s="36">
        <f t="shared" si="5"/>
        <v>4</v>
      </c>
      <c r="M33" s="3">
        <v>2</v>
      </c>
      <c r="N33" s="38">
        <f t="shared" si="6"/>
        <v>2</v>
      </c>
      <c r="O33" s="3">
        <v>2</v>
      </c>
      <c r="P33" s="3">
        <v>2</v>
      </c>
      <c r="Q33" s="43">
        <f t="shared" si="0"/>
        <v>4</v>
      </c>
      <c r="R33" s="3">
        <v>2</v>
      </c>
      <c r="S33" s="43">
        <f t="shared" si="1"/>
        <v>2</v>
      </c>
      <c r="T33" s="3">
        <v>2</v>
      </c>
      <c r="U33" s="3">
        <v>2</v>
      </c>
      <c r="V33" s="43">
        <f t="shared" si="2"/>
        <v>4</v>
      </c>
      <c r="Y33" s="22">
        <f t="shared" si="7"/>
        <v>22</v>
      </c>
      <c r="Z33" s="22">
        <f t="shared" si="8"/>
        <v>91.666666666666657</v>
      </c>
    </row>
    <row r="34" spans="1:26" ht="18" x14ac:dyDescent="0.35">
      <c r="A34" s="2">
        <v>29</v>
      </c>
      <c r="B34" s="16" t="s">
        <v>92</v>
      </c>
      <c r="C34" s="20" t="s">
        <v>93</v>
      </c>
      <c r="D34" s="3">
        <v>0</v>
      </c>
      <c r="E34" s="3">
        <v>2</v>
      </c>
      <c r="F34" s="36">
        <f t="shared" si="3"/>
        <v>2</v>
      </c>
      <c r="G34" s="3">
        <v>2</v>
      </c>
      <c r="H34" s="3">
        <v>2</v>
      </c>
      <c r="I34" s="36">
        <f t="shared" si="4"/>
        <v>4</v>
      </c>
      <c r="J34" s="3">
        <v>2</v>
      </c>
      <c r="K34" s="3">
        <v>2</v>
      </c>
      <c r="L34" s="36">
        <f t="shared" si="5"/>
        <v>4</v>
      </c>
      <c r="M34" s="3">
        <v>2</v>
      </c>
      <c r="N34" s="38">
        <f t="shared" si="6"/>
        <v>2</v>
      </c>
      <c r="O34" s="3">
        <v>2</v>
      </c>
      <c r="P34" s="3">
        <v>2</v>
      </c>
      <c r="Q34" s="43">
        <f t="shared" si="0"/>
        <v>4</v>
      </c>
      <c r="R34" s="3">
        <v>2</v>
      </c>
      <c r="S34" s="43">
        <f t="shared" si="1"/>
        <v>2</v>
      </c>
      <c r="T34" s="3">
        <v>2</v>
      </c>
      <c r="U34" s="3">
        <v>2</v>
      </c>
      <c r="V34" s="43">
        <f t="shared" si="2"/>
        <v>4</v>
      </c>
      <c r="Y34" s="22">
        <f t="shared" si="7"/>
        <v>22</v>
      </c>
      <c r="Z34" s="22">
        <f t="shared" si="8"/>
        <v>91.666666666666657</v>
      </c>
    </row>
    <row r="35" spans="1:26" ht="18" x14ac:dyDescent="0.35">
      <c r="A35" s="2">
        <v>30</v>
      </c>
      <c r="B35" s="16" t="s">
        <v>94</v>
      </c>
      <c r="C35" s="20" t="s">
        <v>95</v>
      </c>
      <c r="D35" s="3">
        <v>2</v>
      </c>
      <c r="E35" s="3">
        <v>2</v>
      </c>
      <c r="F35" s="36">
        <f t="shared" si="3"/>
        <v>4</v>
      </c>
      <c r="G35" s="3">
        <v>2</v>
      </c>
      <c r="H35" s="3">
        <v>2</v>
      </c>
      <c r="I35" s="36">
        <f t="shared" si="4"/>
        <v>4</v>
      </c>
      <c r="J35" s="3">
        <v>2</v>
      </c>
      <c r="K35" s="3">
        <v>2</v>
      </c>
      <c r="L35" s="36">
        <f t="shared" si="5"/>
        <v>4</v>
      </c>
      <c r="M35" s="3">
        <v>2</v>
      </c>
      <c r="N35" s="38">
        <f t="shared" si="6"/>
        <v>2</v>
      </c>
      <c r="O35" s="3">
        <v>0</v>
      </c>
      <c r="P35" s="3">
        <v>0</v>
      </c>
      <c r="Q35" s="43">
        <f t="shared" si="0"/>
        <v>0</v>
      </c>
      <c r="R35" s="3">
        <v>2</v>
      </c>
      <c r="S35" s="43">
        <f t="shared" si="1"/>
        <v>2</v>
      </c>
      <c r="T35" s="3">
        <v>0</v>
      </c>
      <c r="U35" s="3">
        <v>2</v>
      </c>
      <c r="V35" s="43">
        <f t="shared" si="2"/>
        <v>2</v>
      </c>
      <c r="Y35" s="22">
        <f t="shared" si="7"/>
        <v>18</v>
      </c>
      <c r="Z35" s="22">
        <f t="shared" si="8"/>
        <v>75</v>
      </c>
    </row>
    <row r="36" spans="1:26" ht="18" x14ac:dyDescent="0.35">
      <c r="A36" s="2">
        <v>31</v>
      </c>
      <c r="B36" s="16" t="s">
        <v>96</v>
      </c>
      <c r="C36" s="20" t="s">
        <v>97</v>
      </c>
      <c r="D36" s="3">
        <v>2</v>
      </c>
      <c r="E36" s="3">
        <v>2</v>
      </c>
      <c r="F36" s="36">
        <f t="shared" si="3"/>
        <v>4</v>
      </c>
      <c r="G36" s="3">
        <v>2</v>
      </c>
      <c r="H36" s="3">
        <v>2</v>
      </c>
      <c r="I36" s="36">
        <f t="shared" si="4"/>
        <v>4</v>
      </c>
      <c r="J36" s="3">
        <v>2</v>
      </c>
      <c r="K36" s="3">
        <v>2</v>
      </c>
      <c r="L36" s="36">
        <f t="shared" si="5"/>
        <v>4</v>
      </c>
      <c r="M36" s="3">
        <v>2</v>
      </c>
      <c r="N36" s="38">
        <f t="shared" si="6"/>
        <v>2</v>
      </c>
      <c r="O36" s="3">
        <v>2</v>
      </c>
      <c r="P36" s="3">
        <v>2</v>
      </c>
      <c r="Q36" s="43">
        <f t="shared" si="0"/>
        <v>4</v>
      </c>
      <c r="R36" s="3">
        <v>2</v>
      </c>
      <c r="S36" s="43">
        <f t="shared" si="1"/>
        <v>2</v>
      </c>
      <c r="T36" s="3">
        <v>2</v>
      </c>
      <c r="U36" s="3">
        <v>2</v>
      </c>
      <c r="V36" s="43">
        <f t="shared" si="2"/>
        <v>4</v>
      </c>
      <c r="Y36" s="22">
        <f t="shared" si="7"/>
        <v>24</v>
      </c>
      <c r="Z36" s="22">
        <f t="shared" si="8"/>
        <v>100</v>
      </c>
    </row>
    <row r="37" spans="1:26" ht="18" x14ac:dyDescent="0.35">
      <c r="A37" s="2">
        <v>32</v>
      </c>
      <c r="B37" s="16" t="s">
        <v>98</v>
      </c>
      <c r="C37" s="20" t="s">
        <v>99</v>
      </c>
      <c r="D37" s="3">
        <v>2</v>
      </c>
      <c r="E37" s="3">
        <v>0</v>
      </c>
      <c r="F37" s="36">
        <f t="shared" si="3"/>
        <v>2</v>
      </c>
      <c r="G37" s="3">
        <v>2</v>
      </c>
      <c r="H37" s="3">
        <v>2</v>
      </c>
      <c r="I37" s="36">
        <f t="shared" si="4"/>
        <v>4</v>
      </c>
      <c r="J37" s="3">
        <v>2</v>
      </c>
      <c r="K37" s="3">
        <v>2</v>
      </c>
      <c r="L37" s="36">
        <f t="shared" si="5"/>
        <v>4</v>
      </c>
      <c r="M37" s="3">
        <v>2</v>
      </c>
      <c r="N37" s="38">
        <f t="shared" si="6"/>
        <v>2</v>
      </c>
      <c r="O37" s="3">
        <v>2</v>
      </c>
      <c r="P37" s="3">
        <v>2</v>
      </c>
      <c r="Q37" s="43">
        <f t="shared" ref="Q37:Q68" si="9">SUM(O37:P37)</f>
        <v>4</v>
      </c>
      <c r="R37" s="3">
        <v>2</v>
      </c>
      <c r="S37" s="43">
        <f t="shared" ref="S37:S68" si="10">SUM(R37:R37)</f>
        <v>2</v>
      </c>
      <c r="T37" s="3">
        <v>2</v>
      </c>
      <c r="U37" s="3">
        <v>2</v>
      </c>
      <c r="V37" s="43">
        <f t="shared" ref="V37:V68" si="11">SUM(T37:U37)</f>
        <v>4</v>
      </c>
      <c r="Y37" s="22">
        <f t="shared" si="7"/>
        <v>22</v>
      </c>
      <c r="Z37" s="22">
        <f t="shared" si="8"/>
        <v>91.666666666666657</v>
      </c>
    </row>
    <row r="38" spans="1:26" ht="18" x14ac:dyDescent="0.35">
      <c r="A38" s="2">
        <v>33</v>
      </c>
      <c r="B38" s="16" t="s">
        <v>100</v>
      </c>
      <c r="C38" s="20" t="s">
        <v>101</v>
      </c>
      <c r="D38" s="3">
        <v>2</v>
      </c>
      <c r="E38" s="3">
        <v>2</v>
      </c>
      <c r="F38" s="36">
        <f t="shared" si="3"/>
        <v>4</v>
      </c>
      <c r="G38" s="3">
        <v>0</v>
      </c>
      <c r="H38" s="3">
        <v>2</v>
      </c>
      <c r="I38" s="36">
        <f t="shared" si="4"/>
        <v>2</v>
      </c>
      <c r="J38" s="3">
        <v>2</v>
      </c>
      <c r="K38" s="3">
        <v>2</v>
      </c>
      <c r="L38" s="36">
        <f t="shared" si="5"/>
        <v>4</v>
      </c>
      <c r="M38" s="3">
        <v>2</v>
      </c>
      <c r="N38" s="38">
        <f t="shared" si="6"/>
        <v>2</v>
      </c>
      <c r="O38" s="3">
        <v>2</v>
      </c>
      <c r="P38" s="3">
        <v>2</v>
      </c>
      <c r="Q38" s="43">
        <f t="shared" si="9"/>
        <v>4</v>
      </c>
      <c r="R38" s="3">
        <v>2</v>
      </c>
      <c r="S38" s="43">
        <f t="shared" si="10"/>
        <v>2</v>
      </c>
      <c r="T38" s="3">
        <v>2</v>
      </c>
      <c r="U38" s="3">
        <v>2</v>
      </c>
      <c r="V38" s="43">
        <f t="shared" si="11"/>
        <v>4</v>
      </c>
      <c r="Y38" s="22">
        <f t="shared" si="7"/>
        <v>22</v>
      </c>
      <c r="Z38" s="22">
        <f t="shared" si="8"/>
        <v>91.666666666666657</v>
      </c>
    </row>
    <row r="39" spans="1:26" ht="18" x14ac:dyDescent="0.35">
      <c r="A39" s="2">
        <v>34</v>
      </c>
      <c r="B39" s="16" t="s">
        <v>102</v>
      </c>
      <c r="C39" s="20" t="s">
        <v>103</v>
      </c>
      <c r="D39" s="3">
        <v>2</v>
      </c>
      <c r="E39" s="3">
        <v>2</v>
      </c>
      <c r="F39" s="36">
        <f t="shared" si="3"/>
        <v>4</v>
      </c>
      <c r="G39" s="3">
        <v>2</v>
      </c>
      <c r="H39" s="3">
        <v>0</v>
      </c>
      <c r="I39" s="36">
        <f t="shared" si="4"/>
        <v>2</v>
      </c>
      <c r="J39" s="3">
        <v>2</v>
      </c>
      <c r="K39" s="3">
        <v>2</v>
      </c>
      <c r="L39" s="36">
        <f t="shared" si="5"/>
        <v>4</v>
      </c>
      <c r="M39" s="3">
        <v>2</v>
      </c>
      <c r="N39" s="38">
        <f t="shared" si="6"/>
        <v>2</v>
      </c>
      <c r="O39" s="3">
        <v>2</v>
      </c>
      <c r="P39" s="3">
        <v>2</v>
      </c>
      <c r="Q39" s="43">
        <f t="shared" si="9"/>
        <v>4</v>
      </c>
      <c r="R39" s="3">
        <v>2</v>
      </c>
      <c r="S39" s="43">
        <f t="shared" si="10"/>
        <v>2</v>
      </c>
      <c r="T39" s="3">
        <v>2</v>
      </c>
      <c r="U39" s="3">
        <v>2</v>
      </c>
      <c r="V39" s="43">
        <f t="shared" si="11"/>
        <v>4</v>
      </c>
      <c r="Y39" s="22">
        <f t="shared" si="7"/>
        <v>22</v>
      </c>
      <c r="Z39" s="22">
        <f t="shared" si="8"/>
        <v>91.666666666666657</v>
      </c>
    </row>
    <row r="40" spans="1:26" ht="18" x14ac:dyDescent="0.35">
      <c r="A40" s="2">
        <v>35</v>
      </c>
      <c r="B40" s="16" t="s">
        <v>104</v>
      </c>
      <c r="C40" s="20" t="s">
        <v>105</v>
      </c>
      <c r="D40" s="3">
        <v>2</v>
      </c>
      <c r="E40" s="3">
        <v>2</v>
      </c>
      <c r="F40" s="36">
        <f t="shared" si="3"/>
        <v>4</v>
      </c>
      <c r="G40" s="3">
        <v>2</v>
      </c>
      <c r="H40" s="3">
        <v>2</v>
      </c>
      <c r="I40" s="36">
        <f t="shared" si="4"/>
        <v>4</v>
      </c>
      <c r="J40" s="3">
        <v>0</v>
      </c>
      <c r="K40" s="3">
        <v>2</v>
      </c>
      <c r="L40" s="36">
        <f t="shared" si="5"/>
        <v>2</v>
      </c>
      <c r="M40" s="3">
        <v>2</v>
      </c>
      <c r="N40" s="38">
        <f t="shared" si="6"/>
        <v>2</v>
      </c>
      <c r="O40" s="3">
        <v>2</v>
      </c>
      <c r="P40" s="3">
        <v>2</v>
      </c>
      <c r="Q40" s="43">
        <f t="shared" si="9"/>
        <v>4</v>
      </c>
      <c r="R40" s="3">
        <v>2</v>
      </c>
      <c r="S40" s="43">
        <f t="shared" si="10"/>
        <v>2</v>
      </c>
      <c r="T40" s="3">
        <v>2</v>
      </c>
      <c r="U40" s="3">
        <v>2</v>
      </c>
      <c r="V40" s="43">
        <f t="shared" si="11"/>
        <v>4</v>
      </c>
      <c r="Y40" s="22">
        <f t="shared" si="7"/>
        <v>22</v>
      </c>
      <c r="Z40" s="22">
        <f t="shared" si="8"/>
        <v>91.666666666666657</v>
      </c>
    </row>
    <row r="41" spans="1:26" ht="18" x14ac:dyDescent="0.35">
      <c r="A41" s="2">
        <v>36</v>
      </c>
      <c r="B41" s="16" t="s">
        <v>106</v>
      </c>
      <c r="C41" s="20" t="s">
        <v>107</v>
      </c>
      <c r="D41" s="3">
        <v>2</v>
      </c>
      <c r="E41" s="3">
        <v>2</v>
      </c>
      <c r="F41" s="36">
        <f t="shared" si="3"/>
        <v>4</v>
      </c>
      <c r="G41" s="3">
        <v>2</v>
      </c>
      <c r="H41" s="3">
        <v>2</v>
      </c>
      <c r="I41" s="36">
        <f t="shared" si="4"/>
        <v>4</v>
      </c>
      <c r="J41" s="3">
        <v>2</v>
      </c>
      <c r="K41" s="3">
        <v>0</v>
      </c>
      <c r="L41" s="36">
        <f t="shared" si="5"/>
        <v>2</v>
      </c>
      <c r="M41" s="3">
        <v>2</v>
      </c>
      <c r="N41" s="38">
        <f t="shared" si="6"/>
        <v>2</v>
      </c>
      <c r="O41" s="3">
        <v>2</v>
      </c>
      <c r="P41" s="3">
        <v>2</v>
      </c>
      <c r="Q41" s="43">
        <f t="shared" si="9"/>
        <v>4</v>
      </c>
      <c r="R41" s="3">
        <v>2</v>
      </c>
      <c r="S41" s="43">
        <f t="shared" si="10"/>
        <v>2</v>
      </c>
      <c r="T41" s="3">
        <v>2</v>
      </c>
      <c r="U41" s="3">
        <v>2</v>
      </c>
      <c r="V41" s="43">
        <f t="shared" si="11"/>
        <v>4</v>
      </c>
      <c r="Y41" s="22">
        <f t="shared" si="7"/>
        <v>22</v>
      </c>
      <c r="Z41" s="22">
        <f t="shared" si="8"/>
        <v>91.666666666666657</v>
      </c>
    </row>
    <row r="42" spans="1:26" ht="18" x14ac:dyDescent="0.35">
      <c r="A42" s="2">
        <v>37</v>
      </c>
      <c r="B42" s="16" t="s">
        <v>108</v>
      </c>
      <c r="C42" s="20" t="s">
        <v>109</v>
      </c>
      <c r="D42" s="3">
        <v>2</v>
      </c>
      <c r="E42" s="3">
        <v>2</v>
      </c>
      <c r="F42" s="36">
        <f t="shared" si="3"/>
        <v>4</v>
      </c>
      <c r="G42" s="3">
        <v>2</v>
      </c>
      <c r="H42" s="3">
        <v>2</v>
      </c>
      <c r="I42" s="36">
        <f t="shared" si="4"/>
        <v>4</v>
      </c>
      <c r="J42" s="3">
        <v>2</v>
      </c>
      <c r="K42" s="3">
        <v>2</v>
      </c>
      <c r="L42" s="36">
        <f t="shared" si="5"/>
        <v>4</v>
      </c>
      <c r="M42" s="3">
        <v>0</v>
      </c>
      <c r="N42" s="38">
        <f t="shared" si="6"/>
        <v>0</v>
      </c>
      <c r="O42" s="3">
        <v>2</v>
      </c>
      <c r="P42" s="3">
        <v>2</v>
      </c>
      <c r="Q42" s="43">
        <f t="shared" si="9"/>
        <v>4</v>
      </c>
      <c r="R42" s="3">
        <v>2</v>
      </c>
      <c r="S42" s="43">
        <f t="shared" si="10"/>
        <v>2</v>
      </c>
      <c r="T42" s="3">
        <v>2</v>
      </c>
      <c r="U42" s="3">
        <v>2</v>
      </c>
      <c r="V42" s="43">
        <f t="shared" si="11"/>
        <v>4</v>
      </c>
      <c r="Y42" s="22">
        <f t="shared" si="7"/>
        <v>22</v>
      </c>
      <c r="Z42" s="22">
        <f t="shared" si="8"/>
        <v>91.666666666666657</v>
      </c>
    </row>
    <row r="43" spans="1:26" ht="18" x14ac:dyDescent="0.35">
      <c r="A43" s="2">
        <v>38</v>
      </c>
      <c r="B43" s="16" t="s">
        <v>110</v>
      </c>
      <c r="C43" s="20" t="s">
        <v>111</v>
      </c>
      <c r="D43" s="3">
        <v>2</v>
      </c>
      <c r="E43" s="3">
        <v>2</v>
      </c>
      <c r="F43" s="36">
        <f t="shared" si="3"/>
        <v>4</v>
      </c>
      <c r="G43" s="3">
        <v>2</v>
      </c>
      <c r="H43" s="3">
        <v>2</v>
      </c>
      <c r="I43" s="36">
        <f t="shared" si="4"/>
        <v>4</v>
      </c>
      <c r="J43" s="3">
        <v>2</v>
      </c>
      <c r="K43" s="3">
        <v>2</v>
      </c>
      <c r="L43" s="36">
        <f t="shared" si="5"/>
        <v>4</v>
      </c>
      <c r="M43" s="3">
        <v>2</v>
      </c>
      <c r="N43" s="38">
        <f t="shared" si="6"/>
        <v>2</v>
      </c>
      <c r="O43" s="3">
        <v>0</v>
      </c>
      <c r="P43" s="3">
        <v>0</v>
      </c>
      <c r="Q43" s="43">
        <f t="shared" si="9"/>
        <v>0</v>
      </c>
      <c r="R43" s="3">
        <v>2</v>
      </c>
      <c r="S43" s="43">
        <f t="shared" si="10"/>
        <v>2</v>
      </c>
      <c r="T43" s="3">
        <v>2</v>
      </c>
      <c r="U43" s="3">
        <v>2</v>
      </c>
      <c r="V43" s="43">
        <f t="shared" si="11"/>
        <v>4</v>
      </c>
      <c r="Y43" s="22">
        <f t="shared" si="7"/>
        <v>20</v>
      </c>
      <c r="Z43" s="22">
        <f t="shared" si="8"/>
        <v>83.333333333333343</v>
      </c>
    </row>
    <row r="44" spans="1:26" ht="18" x14ac:dyDescent="0.35">
      <c r="A44" s="2">
        <v>39</v>
      </c>
      <c r="B44" s="16" t="s">
        <v>112</v>
      </c>
      <c r="C44" s="20" t="s">
        <v>113</v>
      </c>
      <c r="D44" s="3">
        <v>2</v>
      </c>
      <c r="E44" s="3">
        <v>2</v>
      </c>
      <c r="F44" s="36">
        <f t="shared" si="3"/>
        <v>4</v>
      </c>
      <c r="G44" s="3">
        <v>2</v>
      </c>
      <c r="H44" s="3">
        <v>2</v>
      </c>
      <c r="I44" s="36">
        <f t="shared" si="4"/>
        <v>4</v>
      </c>
      <c r="J44" s="3">
        <v>2</v>
      </c>
      <c r="K44" s="3">
        <v>2</v>
      </c>
      <c r="L44" s="36">
        <f t="shared" si="5"/>
        <v>4</v>
      </c>
      <c r="M44" s="3">
        <v>2</v>
      </c>
      <c r="N44" s="38">
        <f t="shared" si="6"/>
        <v>2</v>
      </c>
      <c r="O44" s="3">
        <v>0</v>
      </c>
      <c r="P44" s="3">
        <v>0</v>
      </c>
      <c r="Q44" s="43">
        <f t="shared" si="9"/>
        <v>0</v>
      </c>
      <c r="R44" s="3">
        <v>2</v>
      </c>
      <c r="S44" s="43">
        <f t="shared" si="10"/>
        <v>2</v>
      </c>
      <c r="T44" s="3">
        <v>0</v>
      </c>
      <c r="U44" s="3">
        <v>2</v>
      </c>
      <c r="V44" s="43">
        <f t="shared" si="11"/>
        <v>2</v>
      </c>
      <c r="Y44" s="22">
        <f t="shared" si="7"/>
        <v>18</v>
      </c>
      <c r="Z44" s="22">
        <f t="shared" si="8"/>
        <v>75</v>
      </c>
    </row>
    <row r="45" spans="1:26" ht="18" x14ac:dyDescent="0.35">
      <c r="A45" s="2">
        <v>40</v>
      </c>
      <c r="B45" s="16" t="s">
        <v>114</v>
      </c>
      <c r="C45" s="20" t="s">
        <v>115</v>
      </c>
      <c r="D45" s="3">
        <v>2</v>
      </c>
      <c r="E45" s="3">
        <v>2</v>
      </c>
      <c r="F45" s="36">
        <f t="shared" si="3"/>
        <v>4</v>
      </c>
      <c r="G45" s="3">
        <v>2</v>
      </c>
      <c r="H45" s="3">
        <v>2</v>
      </c>
      <c r="I45" s="36">
        <f t="shared" si="4"/>
        <v>4</v>
      </c>
      <c r="J45" s="3">
        <v>2</v>
      </c>
      <c r="K45" s="3">
        <v>2</v>
      </c>
      <c r="L45" s="36">
        <f t="shared" si="5"/>
        <v>4</v>
      </c>
      <c r="M45" s="3">
        <v>0</v>
      </c>
      <c r="N45" s="38">
        <f t="shared" si="6"/>
        <v>0</v>
      </c>
      <c r="O45" s="3">
        <v>2</v>
      </c>
      <c r="P45" s="3">
        <v>2</v>
      </c>
      <c r="Q45" s="43">
        <f t="shared" si="9"/>
        <v>4</v>
      </c>
      <c r="R45" s="3">
        <v>2</v>
      </c>
      <c r="S45" s="43">
        <f t="shared" si="10"/>
        <v>2</v>
      </c>
      <c r="T45" s="3">
        <v>2</v>
      </c>
      <c r="U45" s="3">
        <v>2</v>
      </c>
      <c r="V45" s="43">
        <f t="shared" si="11"/>
        <v>4</v>
      </c>
      <c r="Y45" s="22">
        <f t="shared" si="7"/>
        <v>22</v>
      </c>
      <c r="Z45" s="22">
        <f t="shared" si="8"/>
        <v>91.666666666666657</v>
      </c>
    </row>
    <row r="46" spans="1:26" ht="18" x14ac:dyDescent="0.35">
      <c r="A46" s="2">
        <v>41</v>
      </c>
      <c r="B46" s="16" t="s">
        <v>116</v>
      </c>
      <c r="C46" s="20" t="s">
        <v>117</v>
      </c>
      <c r="D46" s="3">
        <v>2</v>
      </c>
      <c r="E46" s="3">
        <v>2</v>
      </c>
      <c r="F46" s="36">
        <f t="shared" si="3"/>
        <v>4</v>
      </c>
      <c r="G46" s="3">
        <v>2</v>
      </c>
      <c r="H46" s="3">
        <v>2</v>
      </c>
      <c r="I46" s="36">
        <f t="shared" si="4"/>
        <v>4</v>
      </c>
      <c r="J46" s="3">
        <v>2</v>
      </c>
      <c r="K46" s="3">
        <v>0</v>
      </c>
      <c r="L46" s="36">
        <f t="shared" si="5"/>
        <v>2</v>
      </c>
      <c r="M46" s="3">
        <v>2</v>
      </c>
      <c r="N46" s="38">
        <f t="shared" si="6"/>
        <v>2</v>
      </c>
      <c r="O46" s="3">
        <v>2</v>
      </c>
      <c r="P46" s="3">
        <v>2</v>
      </c>
      <c r="Q46" s="43">
        <f t="shared" si="9"/>
        <v>4</v>
      </c>
      <c r="R46" s="3">
        <v>2</v>
      </c>
      <c r="S46" s="43">
        <f t="shared" si="10"/>
        <v>2</v>
      </c>
      <c r="T46" s="3">
        <v>2</v>
      </c>
      <c r="U46" s="3">
        <v>0</v>
      </c>
      <c r="V46" s="43">
        <f t="shared" si="11"/>
        <v>2</v>
      </c>
      <c r="Y46" s="22">
        <f t="shared" si="7"/>
        <v>20</v>
      </c>
      <c r="Z46" s="22">
        <f t="shared" si="8"/>
        <v>83.333333333333343</v>
      </c>
    </row>
    <row r="47" spans="1:26" ht="18" x14ac:dyDescent="0.35">
      <c r="A47" s="2">
        <v>42</v>
      </c>
      <c r="B47" s="16" t="s">
        <v>118</v>
      </c>
      <c r="C47" s="20" t="s">
        <v>119</v>
      </c>
      <c r="D47" s="3">
        <v>2</v>
      </c>
      <c r="E47" s="3">
        <v>2</v>
      </c>
      <c r="F47" s="36">
        <f t="shared" si="3"/>
        <v>4</v>
      </c>
      <c r="G47" s="3">
        <v>2</v>
      </c>
      <c r="H47" s="3">
        <v>2</v>
      </c>
      <c r="I47" s="36">
        <f t="shared" si="4"/>
        <v>4</v>
      </c>
      <c r="J47" s="3">
        <v>0</v>
      </c>
      <c r="K47" s="3">
        <v>2</v>
      </c>
      <c r="L47" s="36">
        <f t="shared" si="5"/>
        <v>2</v>
      </c>
      <c r="M47" s="3">
        <v>2</v>
      </c>
      <c r="N47" s="38">
        <f t="shared" si="6"/>
        <v>2</v>
      </c>
      <c r="O47" s="3">
        <v>2</v>
      </c>
      <c r="P47" s="3">
        <v>2</v>
      </c>
      <c r="Q47" s="43">
        <f t="shared" si="9"/>
        <v>4</v>
      </c>
      <c r="R47" s="3">
        <v>2</v>
      </c>
      <c r="S47" s="43">
        <f t="shared" si="10"/>
        <v>2</v>
      </c>
      <c r="T47" s="3">
        <v>2</v>
      </c>
      <c r="U47" s="3">
        <v>2</v>
      </c>
      <c r="V47" s="43">
        <f t="shared" si="11"/>
        <v>4</v>
      </c>
      <c r="Y47" s="22">
        <f t="shared" si="7"/>
        <v>22</v>
      </c>
      <c r="Z47" s="22">
        <f t="shared" si="8"/>
        <v>91.666666666666657</v>
      </c>
    </row>
    <row r="48" spans="1:26" ht="18" x14ac:dyDescent="0.35">
      <c r="A48" s="2">
        <v>43</v>
      </c>
      <c r="B48" s="16" t="s">
        <v>120</v>
      </c>
      <c r="C48" s="20" t="s">
        <v>121</v>
      </c>
      <c r="D48" s="3">
        <v>2</v>
      </c>
      <c r="E48" s="3">
        <v>2</v>
      </c>
      <c r="F48" s="36">
        <f t="shared" si="3"/>
        <v>4</v>
      </c>
      <c r="G48" s="3">
        <v>2</v>
      </c>
      <c r="H48" s="3">
        <v>0</v>
      </c>
      <c r="I48" s="36">
        <f t="shared" si="4"/>
        <v>2</v>
      </c>
      <c r="J48" s="3">
        <v>2</v>
      </c>
      <c r="K48" s="3">
        <v>2</v>
      </c>
      <c r="L48" s="36">
        <f t="shared" si="5"/>
        <v>4</v>
      </c>
      <c r="M48" s="3">
        <v>2</v>
      </c>
      <c r="N48" s="38">
        <f t="shared" si="6"/>
        <v>2</v>
      </c>
      <c r="O48" s="3">
        <v>2</v>
      </c>
      <c r="P48" s="3">
        <v>2</v>
      </c>
      <c r="Q48" s="43">
        <f t="shared" si="9"/>
        <v>4</v>
      </c>
      <c r="R48" s="3">
        <v>2</v>
      </c>
      <c r="S48" s="43">
        <f t="shared" si="10"/>
        <v>2</v>
      </c>
      <c r="T48" s="3">
        <v>2</v>
      </c>
      <c r="U48" s="3">
        <v>2</v>
      </c>
      <c r="V48" s="43">
        <f t="shared" si="11"/>
        <v>4</v>
      </c>
      <c r="Y48" s="22">
        <f t="shared" si="7"/>
        <v>22</v>
      </c>
      <c r="Z48" s="22">
        <f t="shared" si="8"/>
        <v>91.666666666666657</v>
      </c>
    </row>
    <row r="49" spans="1:26" ht="18" x14ac:dyDescent="0.35">
      <c r="A49" s="2">
        <v>44</v>
      </c>
      <c r="B49" s="16" t="s">
        <v>122</v>
      </c>
      <c r="C49" s="20" t="s">
        <v>123</v>
      </c>
      <c r="D49" s="3">
        <v>2</v>
      </c>
      <c r="E49" s="3">
        <v>2</v>
      </c>
      <c r="F49" s="36">
        <f t="shared" si="3"/>
        <v>4</v>
      </c>
      <c r="G49" s="3">
        <v>0</v>
      </c>
      <c r="H49" s="3">
        <v>2</v>
      </c>
      <c r="I49" s="36">
        <f t="shared" si="4"/>
        <v>2</v>
      </c>
      <c r="J49" s="3">
        <v>2</v>
      </c>
      <c r="K49" s="3">
        <v>2</v>
      </c>
      <c r="L49" s="36">
        <f t="shared" si="5"/>
        <v>4</v>
      </c>
      <c r="M49" s="3">
        <v>2</v>
      </c>
      <c r="N49" s="38">
        <f t="shared" si="6"/>
        <v>2</v>
      </c>
      <c r="O49" s="3">
        <v>2</v>
      </c>
      <c r="P49" s="3">
        <v>2</v>
      </c>
      <c r="Q49" s="43">
        <f t="shared" si="9"/>
        <v>4</v>
      </c>
      <c r="R49" s="3">
        <v>2</v>
      </c>
      <c r="S49" s="43">
        <f t="shared" si="10"/>
        <v>2</v>
      </c>
      <c r="T49" s="3">
        <v>2</v>
      </c>
      <c r="U49" s="3">
        <v>2</v>
      </c>
      <c r="V49" s="43">
        <f t="shared" si="11"/>
        <v>4</v>
      </c>
      <c r="Y49" s="22">
        <f t="shared" si="7"/>
        <v>22</v>
      </c>
      <c r="Z49" s="22">
        <f t="shared" si="8"/>
        <v>91.666666666666657</v>
      </c>
    </row>
    <row r="50" spans="1:26" ht="18" x14ac:dyDescent="0.35">
      <c r="A50" s="2">
        <v>45</v>
      </c>
      <c r="B50" s="16" t="s">
        <v>124</v>
      </c>
      <c r="C50" s="20" t="s">
        <v>125</v>
      </c>
      <c r="D50" s="3">
        <v>2</v>
      </c>
      <c r="E50" s="3">
        <v>0</v>
      </c>
      <c r="F50" s="36">
        <f t="shared" si="3"/>
        <v>2</v>
      </c>
      <c r="G50" s="3">
        <v>2</v>
      </c>
      <c r="H50" s="3">
        <v>2</v>
      </c>
      <c r="I50" s="36">
        <f t="shared" si="4"/>
        <v>4</v>
      </c>
      <c r="J50" s="3">
        <v>2</v>
      </c>
      <c r="K50" s="3">
        <v>2</v>
      </c>
      <c r="L50" s="36">
        <f t="shared" si="5"/>
        <v>4</v>
      </c>
      <c r="M50" s="3">
        <v>2</v>
      </c>
      <c r="N50" s="38">
        <f t="shared" si="6"/>
        <v>2</v>
      </c>
      <c r="O50" s="3">
        <v>2</v>
      </c>
      <c r="P50" s="3">
        <v>2</v>
      </c>
      <c r="Q50" s="43">
        <f t="shared" si="9"/>
        <v>4</v>
      </c>
      <c r="R50" s="3">
        <v>2</v>
      </c>
      <c r="S50" s="43">
        <f t="shared" si="10"/>
        <v>2</v>
      </c>
      <c r="T50" s="3">
        <v>2</v>
      </c>
      <c r="U50" s="3">
        <v>2</v>
      </c>
      <c r="V50" s="43">
        <f t="shared" si="11"/>
        <v>4</v>
      </c>
      <c r="Y50" s="22">
        <f t="shared" si="7"/>
        <v>22</v>
      </c>
      <c r="Z50" s="22">
        <f t="shared" si="8"/>
        <v>91.666666666666657</v>
      </c>
    </row>
    <row r="51" spans="1:26" ht="18" x14ac:dyDescent="0.35">
      <c r="A51" s="2">
        <v>46</v>
      </c>
      <c r="B51" s="16" t="s">
        <v>126</v>
      </c>
      <c r="C51" s="20" t="s">
        <v>127</v>
      </c>
      <c r="D51" s="3">
        <v>0</v>
      </c>
      <c r="E51" s="3">
        <v>2</v>
      </c>
      <c r="F51" s="36">
        <f t="shared" si="3"/>
        <v>2</v>
      </c>
      <c r="G51" s="3">
        <v>2</v>
      </c>
      <c r="H51" s="3">
        <v>2</v>
      </c>
      <c r="I51" s="36">
        <f t="shared" si="4"/>
        <v>4</v>
      </c>
      <c r="J51" s="3">
        <v>2</v>
      </c>
      <c r="K51" s="3">
        <v>2</v>
      </c>
      <c r="L51" s="36">
        <f t="shared" si="5"/>
        <v>4</v>
      </c>
      <c r="M51" s="3">
        <v>2</v>
      </c>
      <c r="N51" s="38">
        <f t="shared" si="6"/>
        <v>2</v>
      </c>
      <c r="O51" s="3">
        <v>2</v>
      </c>
      <c r="P51" s="3">
        <v>2</v>
      </c>
      <c r="Q51" s="43">
        <f t="shared" si="9"/>
        <v>4</v>
      </c>
      <c r="R51" s="3">
        <v>2</v>
      </c>
      <c r="S51" s="43">
        <f t="shared" si="10"/>
        <v>2</v>
      </c>
      <c r="T51" s="3">
        <v>2</v>
      </c>
      <c r="U51" s="3">
        <v>2</v>
      </c>
      <c r="V51" s="43">
        <f t="shared" si="11"/>
        <v>4</v>
      </c>
      <c r="Y51" s="22">
        <f t="shared" si="7"/>
        <v>22</v>
      </c>
      <c r="Z51" s="22">
        <f t="shared" si="8"/>
        <v>91.666666666666657</v>
      </c>
    </row>
    <row r="52" spans="1:26" ht="18" x14ac:dyDescent="0.35">
      <c r="A52" s="2">
        <v>47</v>
      </c>
      <c r="B52" s="16" t="s">
        <v>128</v>
      </c>
      <c r="C52" s="20" t="s">
        <v>129</v>
      </c>
      <c r="D52" s="3">
        <v>2</v>
      </c>
      <c r="E52" s="3">
        <v>2</v>
      </c>
      <c r="F52" s="36">
        <f t="shared" si="3"/>
        <v>4</v>
      </c>
      <c r="G52" s="3">
        <v>2</v>
      </c>
      <c r="H52" s="3">
        <v>2</v>
      </c>
      <c r="I52" s="36">
        <f t="shared" si="4"/>
        <v>4</v>
      </c>
      <c r="J52" s="3">
        <v>2</v>
      </c>
      <c r="K52" s="3">
        <v>2</v>
      </c>
      <c r="L52" s="36">
        <f t="shared" si="5"/>
        <v>4</v>
      </c>
      <c r="M52" s="3">
        <v>2</v>
      </c>
      <c r="N52" s="38">
        <f t="shared" si="6"/>
        <v>2</v>
      </c>
      <c r="O52" s="3">
        <v>2</v>
      </c>
      <c r="P52" s="3">
        <v>2</v>
      </c>
      <c r="Q52" s="43">
        <f t="shared" si="9"/>
        <v>4</v>
      </c>
      <c r="R52" s="3">
        <v>2</v>
      </c>
      <c r="S52" s="43">
        <f t="shared" si="10"/>
        <v>2</v>
      </c>
      <c r="T52" s="3">
        <v>2</v>
      </c>
      <c r="U52" s="3">
        <v>2</v>
      </c>
      <c r="V52" s="43">
        <f t="shared" si="11"/>
        <v>4</v>
      </c>
      <c r="Y52" s="22">
        <f t="shared" si="7"/>
        <v>24</v>
      </c>
      <c r="Z52" s="22">
        <f t="shared" si="8"/>
        <v>100</v>
      </c>
    </row>
    <row r="53" spans="1:26" ht="18" x14ac:dyDescent="0.35">
      <c r="A53" s="2">
        <v>48</v>
      </c>
      <c r="B53" s="16" t="s">
        <v>130</v>
      </c>
      <c r="C53" s="20" t="s">
        <v>131</v>
      </c>
      <c r="D53" s="3">
        <v>2</v>
      </c>
      <c r="E53" s="3">
        <v>2</v>
      </c>
      <c r="F53" s="36">
        <f t="shared" si="3"/>
        <v>4</v>
      </c>
      <c r="G53" s="3">
        <v>2</v>
      </c>
      <c r="H53" s="3">
        <v>2</v>
      </c>
      <c r="I53" s="36">
        <f t="shared" si="4"/>
        <v>4</v>
      </c>
      <c r="J53" s="3">
        <v>2</v>
      </c>
      <c r="K53" s="3">
        <v>2</v>
      </c>
      <c r="L53" s="36">
        <f t="shared" si="5"/>
        <v>4</v>
      </c>
      <c r="M53" s="3">
        <v>2</v>
      </c>
      <c r="N53" s="38">
        <f t="shared" si="6"/>
        <v>2</v>
      </c>
      <c r="O53" s="3">
        <v>0</v>
      </c>
      <c r="P53" s="3">
        <v>0</v>
      </c>
      <c r="Q53" s="43">
        <f t="shared" si="9"/>
        <v>0</v>
      </c>
      <c r="R53" s="3">
        <v>2</v>
      </c>
      <c r="S53" s="43">
        <f t="shared" si="10"/>
        <v>2</v>
      </c>
      <c r="T53" s="3">
        <v>0</v>
      </c>
      <c r="U53" s="3">
        <v>2</v>
      </c>
      <c r="V53" s="43">
        <f t="shared" si="11"/>
        <v>2</v>
      </c>
      <c r="Y53" s="22">
        <f t="shared" si="7"/>
        <v>18</v>
      </c>
      <c r="Z53" s="22">
        <f t="shared" si="8"/>
        <v>75</v>
      </c>
    </row>
    <row r="54" spans="1:26" ht="18" x14ac:dyDescent="0.35">
      <c r="A54" s="2">
        <v>49</v>
      </c>
      <c r="B54" s="16" t="s">
        <v>132</v>
      </c>
      <c r="C54" s="20" t="s">
        <v>133</v>
      </c>
      <c r="D54" s="3">
        <v>2</v>
      </c>
      <c r="E54" s="3">
        <v>0</v>
      </c>
      <c r="F54" s="36">
        <f t="shared" si="3"/>
        <v>2</v>
      </c>
      <c r="G54" s="3">
        <v>2</v>
      </c>
      <c r="H54" s="3">
        <v>2</v>
      </c>
      <c r="I54" s="36">
        <f t="shared" si="4"/>
        <v>4</v>
      </c>
      <c r="J54" s="3">
        <v>2</v>
      </c>
      <c r="K54" s="3">
        <v>2</v>
      </c>
      <c r="L54" s="36">
        <f t="shared" si="5"/>
        <v>4</v>
      </c>
      <c r="M54" s="3">
        <v>2</v>
      </c>
      <c r="N54" s="38">
        <f t="shared" si="6"/>
        <v>2</v>
      </c>
      <c r="O54" s="3">
        <v>2</v>
      </c>
      <c r="P54" s="3">
        <v>2</v>
      </c>
      <c r="Q54" s="43">
        <f t="shared" si="9"/>
        <v>4</v>
      </c>
      <c r="R54" s="3">
        <v>2</v>
      </c>
      <c r="S54" s="43">
        <f t="shared" si="10"/>
        <v>2</v>
      </c>
      <c r="T54" s="3">
        <v>2</v>
      </c>
      <c r="U54" s="3">
        <v>2</v>
      </c>
      <c r="V54" s="43">
        <f t="shared" si="11"/>
        <v>4</v>
      </c>
      <c r="Y54" s="22">
        <f t="shared" si="7"/>
        <v>22</v>
      </c>
      <c r="Z54" s="22">
        <f t="shared" si="8"/>
        <v>91.666666666666657</v>
      </c>
    </row>
    <row r="55" spans="1:26" ht="18" x14ac:dyDescent="0.35">
      <c r="A55" s="2">
        <v>50</v>
      </c>
      <c r="B55" s="16" t="s">
        <v>134</v>
      </c>
      <c r="C55" s="20" t="s">
        <v>135</v>
      </c>
      <c r="D55" s="3">
        <v>2</v>
      </c>
      <c r="E55" s="3">
        <v>2</v>
      </c>
      <c r="F55" s="36">
        <f t="shared" si="3"/>
        <v>4</v>
      </c>
      <c r="G55" s="3">
        <v>0</v>
      </c>
      <c r="H55" s="3">
        <v>2</v>
      </c>
      <c r="I55" s="36">
        <f t="shared" si="4"/>
        <v>2</v>
      </c>
      <c r="J55" s="3">
        <v>2</v>
      </c>
      <c r="K55" s="3">
        <v>2</v>
      </c>
      <c r="L55" s="36">
        <f t="shared" si="5"/>
        <v>4</v>
      </c>
      <c r="M55" s="3">
        <v>2</v>
      </c>
      <c r="N55" s="38">
        <f t="shared" si="6"/>
        <v>2</v>
      </c>
      <c r="O55" s="3">
        <v>2</v>
      </c>
      <c r="P55" s="3">
        <v>2</v>
      </c>
      <c r="Q55" s="43">
        <f t="shared" si="9"/>
        <v>4</v>
      </c>
      <c r="R55" s="3">
        <v>2</v>
      </c>
      <c r="S55" s="43">
        <f t="shared" si="10"/>
        <v>2</v>
      </c>
      <c r="T55" s="3">
        <v>2</v>
      </c>
      <c r="U55" s="3">
        <v>2</v>
      </c>
      <c r="V55" s="43">
        <f t="shared" si="11"/>
        <v>4</v>
      </c>
      <c r="Y55" s="22">
        <f t="shared" si="7"/>
        <v>22</v>
      </c>
      <c r="Z55" s="22">
        <f t="shared" si="8"/>
        <v>91.666666666666657</v>
      </c>
    </row>
    <row r="56" spans="1:26" ht="18" x14ac:dyDescent="0.35">
      <c r="A56" s="2">
        <v>51</v>
      </c>
      <c r="B56" s="16" t="s">
        <v>136</v>
      </c>
      <c r="C56" s="20" t="s">
        <v>137</v>
      </c>
      <c r="D56" s="3">
        <v>2</v>
      </c>
      <c r="E56" s="3">
        <v>2</v>
      </c>
      <c r="F56" s="36">
        <f t="shared" si="3"/>
        <v>4</v>
      </c>
      <c r="G56" s="3">
        <v>2</v>
      </c>
      <c r="H56" s="3">
        <v>0</v>
      </c>
      <c r="I56" s="36">
        <f t="shared" si="4"/>
        <v>2</v>
      </c>
      <c r="J56" s="3">
        <v>2</v>
      </c>
      <c r="K56" s="3">
        <v>2</v>
      </c>
      <c r="L56" s="36">
        <f t="shared" si="5"/>
        <v>4</v>
      </c>
      <c r="M56" s="3">
        <v>2</v>
      </c>
      <c r="N56" s="38">
        <f t="shared" si="6"/>
        <v>2</v>
      </c>
      <c r="O56" s="3">
        <v>2</v>
      </c>
      <c r="P56" s="3">
        <v>2</v>
      </c>
      <c r="Q56" s="43">
        <f t="shared" si="9"/>
        <v>4</v>
      </c>
      <c r="R56" s="3">
        <v>2</v>
      </c>
      <c r="S56" s="43">
        <f t="shared" si="10"/>
        <v>2</v>
      </c>
      <c r="T56" s="3">
        <v>2</v>
      </c>
      <c r="U56" s="3">
        <v>2</v>
      </c>
      <c r="V56" s="43">
        <f t="shared" si="11"/>
        <v>4</v>
      </c>
      <c r="Y56" s="22">
        <f t="shared" si="7"/>
        <v>22</v>
      </c>
      <c r="Z56" s="22">
        <f t="shared" si="8"/>
        <v>91.666666666666657</v>
      </c>
    </row>
    <row r="57" spans="1:26" ht="18" x14ac:dyDescent="0.35">
      <c r="A57" s="2">
        <v>52</v>
      </c>
      <c r="B57" s="16" t="s">
        <v>138</v>
      </c>
      <c r="C57" s="20" t="s">
        <v>139</v>
      </c>
      <c r="D57" s="3">
        <v>2</v>
      </c>
      <c r="E57" s="3">
        <v>2</v>
      </c>
      <c r="F57" s="36">
        <f t="shared" si="3"/>
        <v>4</v>
      </c>
      <c r="G57" s="3">
        <v>2</v>
      </c>
      <c r="H57" s="3">
        <v>2</v>
      </c>
      <c r="I57" s="36">
        <f t="shared" si="4"/>
        <v>4</v>
      </c>
      <c r="J57" s="3">
        <v>0</v>
      </c>
      <c r="K57" s="3">
        <v>2</v>
      </c>
      <c r="L57" s="36">
        <f t="shared" si="5"/>
        <v>2</v>
      </c>
      <c r="M57" s="3">
        <v>2</v>
      </c>
      <c r="N57" s="38">
        <f t="shared" si="6"/>
        <v>2</v>
      </c>
      <c r="O57" s="3">
        <v>2</v>
      </c>
      <c r="P57" s="3">
        <v>2</v>
      </c>
      <c r="Q57" s="43">
        <f t="shared" si="9"/>
        <v>4</v>
      </c>
      <c r="R57" s="3">
        <v>2</v>
      </c>
      <c r="S57" s="43">
        <f t="shared" si="10"/>
        <v>2</v>
      </c>
      <c r="T57" s="3">
        <v>2</v>
      </c>
      <c r="U57" s="3">
        <v>2</v>
      </c>
      <c r="V57" s="43">
        <f t="shared" si="11"/>
        <v>4</v>
      </c>
      <c r="Y57" s="22">
        <f t="shared" si="7"/>
        <v>22</v>
      </c>
      <c r="Z57" s="22">
        <f t="shared" si="8"/>
        <v>91.666666666666657</v>
      </c>
    </row>
    <row r="58" spans="1:26" ht="18" x14ac:dyDescent="0.35">
      <c r="A58" s="2">
        <v>53</v>
      </c>
      <c r="B58" s="16" t="s">
        <v>140</v>
      </c>
      <c r="C58" s="20" t="s">
        <v>141</v>
      </c>
      <c r="D58" s="3">
        <v>2</v>
      </c>
      <c r="E58" s="3">
        <v>2</v>
      </c>
      <c r="F58" s="36">
        <f t="shared" si="3"/>
        <v>4</v>
      </c>
      <c r="G58" s="3">
        <v>2</v>
      </c>
      <c r="H58" s="3">
        <v>2</v>
      </c>
      <c r="I58" s="36">
        <f t="shared" si="4"/>
        <v>4</v>
      </c>
      <c r="J58" s="3">
        <v>2</v>
      </c>
      <c r="K58" s="3">
        <v>0</v>
      </c>
      <c r="L58" s="36">
        <f t="shared" si="5"/>
        <v>2</v>
      </c>
      <c r="M58" s="3">
        <v>2</v>
      </c>
      <c r="N58" s="38">
        <f t="shared" si="6"/>
        <v>2</v>
      </c>
      <c r="O58" s="3">
        <v>2</v>
      </c>
      <c r="P58" s="3">
        <v>2</v>
      </c>
      <c r="Q58" s="43">
        <f t="shared" si="9"/>
        <v>4</v>
      </c>
      <c r="R58" s="3">
        <v>2</v>
      </c>
      <c r="S58" s="43">
        <f t="shared" si="10"/>
        <v>2</v>
      </c>
      <c r="T58" s="3">
        <v>2</v>
      </c>
      <c r="U58" s="3">
        <v>2</v>
      </c>
      <c r="V58" s="43">
        <f t="shared" si="11"/>
        <v>4</v>
      </c>
      <c r="Y58" s="22">
        <f t="shared" si="7"/>
        <v>22</v>
      </c>
      <c r="Z58" s="22">
        <f t="shared" si="8"/>
        <v>91.666666666666657</v>
      </c>
    </row>
    <row r="59" spans="1:26" ht="18" x14ac:dyDescent="0.35">
      <c r="A59" s="2">
        <v>54</v>
      </c>
      <c r="B59" s="16" t="s">
        <v>142</v>
      </c>
      <c r="C59" s="20" t="s">
        <v>143</v>
      </c>
      <c r="D59" s="3">
        <v>2</v>
      </c>
      <c r="E59" s="3">
        <v>2</v>
      </c>
      <c r="F59" s="36">
        <f t="shared" si="3"/>
        <v>4</v>
      </c>
      <c r="G59" s="3">
        <v>2</v>
      </c>
      <c r="H59" s="3">
        <v>2</v>
      </c>
      <c r="I59" s="36">
        <f t="shared" si="4"/>
        <v>4</v>
      </c>
      <c r="J59" s="3">
        <v>2</v>
      </c>
      <c r="K59" s="3">
        <v>2</v>
      </c>
      <c r="L59" s="36">
        <f t="shared" si="5"/>
        <v>4</v>
      </c>
      <c r="M59" s="3">
        <v>0</v>
      </c>
      <c r="N59" s="38">
        <f t="shared" si="6"/>
        <v>0</v>
      </c>
      <c r="O59" s="3">
        <v>2</v>
      </c>
      <c r="P59" s="3">
        <v>2</v>
      </c>
      <c r="Q59" s="43">
        <f t="shared" si="9"/>
        <v>4</v>
      </c>
      <c r="R59" s="3">
        <v>2</v>
      </c>
      <c r="S59" s="43">
        <f t="shared" si="10"/>
        <v>2</v>
      </c>
      <c r="T59" s="3">
        <v>2</v>
      </c>
      <c r="U59" s="3">
        <v>2</v>
      </c>
      <c r="V59" s="43">
        <f t="shared" si="11"/>
        <v>4</v>
      </c>
      <c r="Y59" s="22">
        <f t="shared" si="7"/>
        <v>22</v>
      </c>
      <c r="Z59" s="22">
        <f t="shared" si="8"/>
        <v>91.666666666666657</v>
      </c>
    </row>
    <row r="60" spans="1:26" ht="18" x14ac:dyDescent="0.35">
      <c r="A60" s="2">
        <v>55</v>
      </c>
      <c r="B60" s="16" t="s">
        <v>144</v>
      </c>
      <c r="C60" s="20" t="s">
        <v>145</v>
      </c>
      <c r="D60" s="3">
        <v>2</v>
      </c>
      <c r="E60" s="3">
        <v>2</v>
      </c>
      <c r="F60" s="36">
        <f t="shared" si="3"/>
        <v>4</v>
      </c>
      <c r="G60" s="3">
        <v>2</v>
      </c>
      <c r="H60" s="3">
        <v>2</v>
      </c>
      <c r="I60" s="36">
        <f t="shared" si="4"/>
        <v>4</v>
      </c>
      <c r="J60" s="3">
        <v>2</v>
      </c>
      <c r="K60" s="3">
        <v>2</v>
      </c>
      <c r="L60" s="36">
        <f t="shared" si="5"/>
        <v>4</v>
      </c>
      <c r="M60" s="3">
        <v>2</v>
      </c>
      <c r="N60" s="38">
        <f t="shared" si="6"/>
        <v>2</v>
      </c>
      <c r="O60" s="3">
        <v>2</v>
      </c>
      <c r="P60" s="3">
        <v>2</v>
      </c>
      <c r="Q60" s="43">
        <f t="shared" si="9"/>
        <v>4</v>
      </c>
      <c r="R60" s="3">
        <v>2</v>
      </c>
      <c r="S60" s="43">
        <f t="shared" si="10"/>
        <v>2</v>
      </c>
      <c r="T60" s="3">
        <v>2</v>
      </c>
      <c r="U60" s="3">
        <v>2</v>
      </c>
      <c r="V60" s="43">
        <f t="shared" si="11"/>
        <v>4</v>
      </c>
      <c r="Y60" s="22">
        <f t="shared" si="7"/>
        <v>24</v>
      </c>
      <c r="Z60" s="22">
        <f t="shared" si="8"/>
        <v>100</v>
      </c>
    </row>
    <row r="61" spans="1:26" ht="18" x14ac:dyDescent="0.35">
      <c r="A61" s="2">
        <v>56</v>
      </c>
      <c r="B61" s="16" t="s">
        <v>146</v>
      </c>
      <c r="C61" s="20" t="s">
        <v>147</v>
      </c>
      <c r="D61" s="3">
        <v>2</v>
      </c>
      <c r="E61" s="3">
        <v>2</v>
      </c>
      <c r="F61" s="36">
        <f t="shared" si="3"/>
        <v>4</v>
      </c>
      <c r="G61" s="3">
        <v>2</v>
      </c>
      <c r="H61" s="3">
        <v>2</v>
      </c>
      <c r="I61" s="36">
        <f t="shared" si="4"/>
        <v>4</v>
      </c>
      <c r="J61" s="3">
        <v>2</v>
      </c>
      <c r="K61" s="3">
        <v>2</v>
      </c>
      <c r="L61" s="36">
        <f t="shared" si="5"/>
        <v>4</v>
      </c>
      <c r="M61" s="3">
        <v>2</v>
      </c>
      <c r="N61" s="38">
        <f t="shared" si="6"/>
        <v>2</v>
      </c>
      <c r="O61" s="3">
        <v>0</v>
      </c>
      <c r="P61" s="3">
        <v>0</v>
      </c>
      <c r="Q61" s="43">
        <f t="shared" si="9"/>
        <v>0</v>
      </c>
      <c r="R61" s="3">
        <v>2</v>
      </c>
      <c r="S61" s="43">
        <f t="shared" si="10"/>
        <v>2</v>
      </c>
      <c r="T61" s="3">
        <v>0</v>
      </c>
      <c r="U61" s="3">
        <v>2</v>
      </c>
      <c r="V61" s="43">
        <f t="shared" si="11"/>
        <v>2</v>
      </c>
      <c r="Y61" s="22">
        <f t="shared" si="7"/>
        <v>18</v>
      </c>
      <c r="Z61" s="22">
        <f t="shared" si="8"/>
        <v>75</v>
      </c>
    </row>
    <row r="62" spans="1:26" ht="18" x14ac:dyDescent="0.35">
      <c r="A62" s="2">
        <v>57</v>
      </c>
      <c r="B62" s="16" t="s">
        <v>148</v>
      </c>
      <c r="C62" s="20" t="s">
        <v>149</v>
      </c>
      <c r="D62" s="3">
        <v>2</v>
      </c>
      <c r="E62" s="3">
        <v>2</v>
      </c>
      <c r="F62" s="36">
        <f t="shared" si="3"/>
        <v>4</v>
      </c>
      <c r="G62" s="3">
        <v>2</v>
      </c>
      <c r="H62" s="3">
        <v>2</v>
      </c>
      <c r="I62" s="36">
        <f t="shared" si="4"/>
        <v>4</v>
      </c>
      <c r="J62" s="3">
        <v>2</v>
      </c>
      <c r="K62" s="3">
        <v>2</v>
      </c>
      <c r="L62" s="36">
        <f t="shared" si="5"/>
        <v>4</v>
      </c>
      <c r="M62" s="3">
        <v>0</v>
      </c>
      <c r="N62" s="38">
        <f t="shared" si="6"/>
        <v>0</v>
      </c>
      <c r="O62" s="3">
        <v>2</v>
      </c>
      <c r="P62" s="3">
        <v>2</v>
      </c>
      <c r="Q62" s="43">
        <f t="shared" si="9"/>
        <v>4</v>
      </c>
      <c r="R62" s="3">
        <v>2</v>
      </c>
      <c r="S62" s="43">
        <f t="shared" si="10"/>
        <v>2</v>
      </c>
      <c r="T62" s="3">
        <v>2</v>
      </c>
      <c r="U62" s="3">
        <v>2</v>
      </c>
      <c r="V62" s="43">
        <f t="shared" si="11"/>
        <v>4</v>
      </c>
      <c r="Y62" s="22">
        <f t="shared" si="7"/>
        <v>22</v>
      </c>
      <c r="Z62" s="22">
        <f t="shared" si="8"/>
        <v>91.666666666666657</v>
      </c>
    </row>
    <row r="63" spans="1:26" ht="18" x14ac:dyDescent="0.35">
      <c r="A63" s="2">
        <v>58</v>
      </c>
      <c r="B63" s="16" t="s">
        <v>150</v>
      </c>
      <c r="C63" s="20" t="s">
        <v>151</v>
      </c>
      <c r="D63" s="3">
        <v>2</v>
      </c>
      <c r="E63" s="3">
        <v>2</v>
      </c>
      <c r="F63" s="36">
        <f t="shared" si="3"/>
        <v>4</v>
      </c>
      <c r="G63" s="3">
        <v>2</v>
      </c>
      <c r="H63" s="3">
        <v>2</v>
      </c>
      <c r="I63" s="36">
        <f t="shared" si="4"/>
        <v>4</v>
      </c>
      <c r="J63" s="3">
        <v>2</v>
      </c>
      <c r="K63" s="3">
        <v>0</v>
      </c>
      <c r="L63" s="36">
        <f t="shared" si="5"/>
        <v>2</v>
      </c>
      <c r="M63" s="3">
        <v>2</v>
      </c>
      <c r="N63" s="38">
        <f t="shared" si="6"/>
        <v>2</v>
      </c>
      <c r="O63" s="3">
        <v>2</v>
      </c>
      <c r="P63" s="3">
        <v>2</v>
      </c>
      <c r="Q63" s="43">
        <f t="shared" si="9"/>
        <v>4</v>
      </c>
      <c r="R63" s="3">
        <v>2</v>
      </c>
      <c r="S63" s="43">
        <f t="shared" si="10"/>
        <v>2</v>
      </c>
      <c r="T63" s="3">
        <v>2</v>
      </c>
      <c r="U63" s="3">
        <v>2</v>
      </c>
      <c r="V63" s="43">
        <f t="shared" si="11"/>
        <v>4</v>
      </c>
      <c r="Y63" s="22">
        <f t="shared" si="7"/>
        <v>22</v>
      </c>
      <c r="Z63" s="22">
        <f t="shared" si="8"/>
        <v>91.666666666666657</v>
      </c>
    </row>
    <row r="64" spans="1:26" ht="18" x14ac:dyDescent="0.35">
      <c r="A64" s="2">
        <v>59</v>
      </c>
      <c r="B64" s="16" t="s">
        <v>152</v>
      </c>
      <c r="C64" s="20" t="s">
        <v>153</v>
      </c>
      <c r="D64" s="3">
        <v>2</v>
      </c>
      <c r="E64" s="3">
        <v>2</v>
      </c>
      <c r="F64" s="36">
        <f t="shared" si="3"/>
        <v>4</v>
      </c>
      <c r="G64" s="3">
        <v>2</v>
      </c>
      <c r="H64" s="3">
        <v>2</v>
      </c>
      <c r="I64" s="36">
        <f t="shared" si="4"/>
        <v>4</v>
      </c>
      <c r="J64" s="3">
        <v>0</v>
      </c>
      <c r="K64" s="3">
        <v>2</v>
      </c>
      <c r="L64" s="36">
        <f t="shared" si="5"/>
        <v>2</v>
      </c>
      <c r="M64" s="3">
        <v>2</v>
      </c>
      <c r="N64" s="38">
        <f t="shared" si="6"/>
        <v>2</v>
      </c>
      <c r="O64" s="3">
        <v>2</v>
      </c>
      <c r="P64" s="3">
        <v>2</v>
      </c>
      <c r="Q64" s="43">
        <f t="shared" si="9"/>
        <v>4</v>
      </c>
      <c r="R64" s="3">
        <v>2</v>
      </c>
      <c r="S64" s="43">
        <f t="shared" si="10"/>
        <v>2</v>
      </c>
      <c r="T64" s="3">
        <v>2</v>
      </c>
      <c r="U64" s="3">
        <v>2</v>
      </c>
      <c r="V64" s="43">
        <f t="shared" si="11"/>
        <v>4</v>
      </c>
      <c r="Y64" s="22">
        <f t="shared" si="7"/>
        <v>22</v>
      </c>
      <c r="Z64" s="22">
        <f t="shared" si="8"/>
        <v>91.666666666666657</v>
      </c>
    </row>
    <row r="65" spans="1:26" ht="18" x14ac:dyDescent="0.35">
      <c r="A65" s="2">
        <v>60</v>
      </c>
      <c r="B65" s="16" t="s">
        <v>154</v>
      </c>
      <c r="C65" s="20" t="s">
        <v>155</v>
      </c>
      <c r="D65" s="3">
        <v>2</v>
      </c>
      <c r="E65" s="3">
        <v>2</v>
      </c>
      <c r="F65" s="36">
        <f t="shared" si="3"/>
        <v>4</v>
      </c>
      <c r="G65" s="3">
        <v>2</v>
      </c>
      <c r="H65" s="3">
        <v>0</v>
      </c>
      <c r="I65" s="36">
        <f t="shared" si="4"/>
        <v>2</v>
      </c>
      <c r="J65" s="3">
        <v>2</v>
      </c>
      <c r="K65" s="3">
        <v>2</v>
      </c>
      <c r="L65" s="36">
        <f t="shared" si="5"/>
        <v>4</v>
      </c>
      <c r="M65" s="3">
        <v>2</v>
      </c>
      <c r="N65" s="38">
        <f t="shared" si="6"/>
        <v>2</v>
      </c>
      <c r="O65" s="3">
        <v>2</v>
      </c>
      <c r="P65" s="3">
        <v>2</v>
      </c>
      <c r="Q65" s="43">
        <f t="shared" si="9"/>
        <v>4</v>
      </c>
      <c r="R65" s="3">
        <v>2</v>
      </c>
      <c r="S65" s="43">
        <f t="shared" si="10"/>
        <v>2</v>
      </c>
      <c r="T65" s="3">
        <v>2</v>
      </c>
      <c r="U65" s="3">
        <v>2</v>
      </c>
      <c r="V65" s="43">
        <f t="shared" si="11"/>
        <v>4</v>
      </c>
      <c r="Y65" s="22">
        <f t="shared" si="7"/>
        <v>22</v>
      </c>
      <c r="Z65" s="22">
        <f t="shared" si="8"/>
        <v>91.666666666666657</v>
      </c>
    </row>
    <row r="66" spans="1:26" ht="18" x14ac:dyDescent="0.35">
      <c r="A66" s="2">
        <v>61</v>
      </c>
      <c r="B66" s="16" t="s">
        <v>156</v>
      </c>
      <c r="C66" s="20" t="s">
        <v>157</v>
      </c>
      <c r="D66" s="3">
        <v>2</v>
      </c>
      <c r="E66" s="3">
        <v>2</v>
      </c>
      <c r="F66" s="36">
        <f t="shared" si="3"/>
        <v>4</v>
      </c>
      <c r="G66" s="3">
        <v>0</v>
      </c>
      <c r="H66" s="3">
        <v>2</v>
      </c>
      <c r="I66" s="36">
        <f t="shared" si="4"/>
        <v>2</v>
      </c>
      <c r="J66" s="3">
        <v>2</v>
      </c>
      <c r="K66" s="3">
        <v>2</v>
      </c>
      <c r="L66" s="36">
        <f t="shared" si="5"/>
        <v>4</v>
      </c>
      <c r="M66" s="3">
        <v>2</v>
      </c>
      <c r="N66" s="38">
        <f t="shared" si="6"/>
        <v>2</v>
      </c>
      <c r="O66" s="3">
        <v>2</v>
      </c>
      <c r="P66" s="3">
        <v>2</v>
      </c>
      <c r="Q66" s="43">
        <f t="shared" si="9"/>
        <v>4</v>
      </c>
      <c r="R66" s="3">
        <v>2</v>
      </c>
      <c r="S66" s="43">
        <f t="shared" si="10"/>
        <v>2</v>
      </c>
      <c r="T66" s="3">
        <v>2</v>
      </c>
      <c r="U66" s="3">
        <v>2</v>
      </c>
      <c r="V66" s="43">
        <f t="shared" si="11"/>
        <v>4</v>
      </c>
      <c r="Y66" s="22">
        <f t="shared" si="7"/>
        <v>22</v>
      </c>
      <c r="Z66" s="22">
        <f t="shared" si="8"/>
        <v>91.666666666666657</v>
      </c>
    </row>
    <row r="67" spans="1:26" ht="18" x14ac:dyDescent="0.35">
      <c r="A67" s="2">
        <v>62</v>
      </c>
      <c r="B67" s="16" t="s">
        <v>158</v>
      </c>
      <c r="C67" s="20" t="s">
        <v>159</v>
      </c>
      <c r="D67" s="3">
        <v>2</v>
      </c>
      <c r="E67" s="3">
        <v>0</v>
      </c>
      <c r="F67" s="36">
        <f t="shared" si="3"/>
        <v>2</v>
      </c>
      <c r="G67" s="3">
        <v>2</v>
      </c>
      <c r="H67" s="3">
        <v>2</v>
      </c>
      <c r="I67" s="36">
        <f t="shared" si="4"/>
        <v>4</v>
      </c>
      <c r="J67" s="3">
        <v>2</v>
      </c>
      <c r="K67" s="3">
        <v>2</v>
      </c>
      <c r="L67" s="36">
        <f t="shared" si="5"/>
        <v>4</v>
      </c>
      <c r="M67" s="3">
        <v>2</v>
      </c>
      <c r="N67" s="38">
        <f t="shared" si="6"/>
        <v>2</v>
      </c>
      <c r="O67" s="3">
        <v>2</v>
      </c>
      <c r="P67" s="3">
        <v>2</v>
      </c>
      <c r="Q67" s="43">
        <f t="shared" si="9"/>
        <v>4</v>
      </c>
      <c r="R67" s="3">
        <v>2</v>
      </c>
      <c r="S67" s="43">
        <f t="shared" si="10"/>
        <v>2</v>
      </c>
      <c r="T67" s="3">
        <v>2</v>
      </c>
      <c r="U67" s="3">
        <v>2</v>
      </c>
      <c r="V67" s="43">
        <f t="shared" si="11"/>
        <v>4</v>
      </c>
      <c r="Y67" s="22">
        <f t="shared" si="7"/>
        <v>22</v>
      </c>
      <c r="Z67" s="22">
        <f t="shared" si="8"/>
        <v>91.666666666666657</v>
      </c>
    </row>
    <row r="68" spans="1:26" ht="18" x14ac:dyDescent="0.35">
      <c r="A68" s="2">
        <v>63</v>
      </c>
      <c r="B68" s="16" t="s">
        <v>160</v>
      </c>
      <c r="C68" s="20" t="s">
        <v>161</v>
      </c>
      <c r="D68" s="3">
        <v>0</v>
      </c>
      <c r="E68" s="3">
        <v>2</v>
      </c>
      <c r="F68" s="36">
        <f t="shared" si="3"/>
        <v>2</v>
      </c>
      <c r="G68" s="3">
        <v>2</v>
      </c>
      <c r="H68" s="3">
        <v>2</v>
      </c>
      <c r="I68" s="36">
        <f t="shared" si="4"/>
        <v>4</v>
      </c>
      <c r="J68" s="3">
        <v>2</v>
      </c>
      <c r="K68" s="3">
        <v>2</v>
      </c>
      <c r="L68" s="36">
        <f t="shared" si="5"/>
        <v>4</v>
      </c>
      <c r="M68" s="3">
        <v>2</v>
      </c>
      <c r="N68" s="38">
        <f t="shared" si="6"/>
        <v>2</v>
      </c>
      <c r="O68" s="3">
        <v>2</v>
      </c>
      <c r="P68" s="3">
        <v>2</v>
      </c>
      <c r="Q68" s="43">
        <f t="shared" si="9"/>
        <v>4</v>
      </c>
      <c r="R68" s="3">
        <v>2</v>
      </c>
      <c r="S68" s="43">
        <f t="shared" si="10"/>
        <v>2</v>
      </c>
      <c r="T68" s="3">
        <v>2</v>
      </c>
      <c r="U68" s="3">
        <v>2</v>
      </c>
      <c r="V68" s="43">
        <f t="shared" si="11"/>
        <v>4</v>
      </c>
      <c r="Y68" s="22">
        <f t="shared" si="7"/>
        <v>22</v>
      </c>
      <c r="Z68" s="22">
        <f t="shared" si="8"/>
        <v>91.666666666666657</v>
      </c>
    </row>
    <row r="69" spans="1:26" ht="18" x14ac:dyDescent="0.35">
      <c r="A69" s="2">
        <v>64</v>
      </c>
      <c r="B69" s="16" t="s">
        <v>162</v>
      </c>
      <c r="C69" s="20" t="s">
        <v>163</v>
      </c>
      <c r="D69" s="3">
        <v>2</v>
      </c>
      <c r="E69" s="3">
        <v>0</v>
      </c>
      <c r="F69" s="36">
        <f t="shared" si="3"/>
        <v>2</v>
      </c>
      <c r="G69" s="3">
        <v>2</v>
      </c>
      <c r="H69" s="3">
        <v>2</v>
      </c>
      <c r="I69" s="36">
        <f t="shared" si="4"/>
        <v>4</v>
      </c>
      <c r="J69" s="3">
        <v>2</v>
      </c>
      <c r="K69" s="3">
        <v>2</v>
      </c>
      <c r="L69" s="36">
        <f t="shared" si="5"/>
        <v>4</v>
      </c>
      <c r="M69" s="3">
        <v>2</v>
      </c>
      <c r="N69" s="38">
        <f t="shared" si="6"/>
        <v>2</v>
      </c>
      <c r="O69" s="3">
        <v>2</v>
      </c>
      <c r="P69" s="3">
        <v>2</v>
      </c>
      <c r="Q69" s="43">
        <f t="shared" ref="Q69:Q70" si="12">SUM(O69:P69)</f>
        <v>4</v>
      </c>
      <c r="R69" s="3">
        <v>2</v>
      </c>
      <c r="S69" s="43">
        <f t="shared" ref="S69:S70" si="13">SUM(R69:R69)</f>
        <v>2</v>
      </c>
      <c r="T69" s="3">
        <v>2</v>
      </c>
      <c r="U69" s="3">
        <v>2</v>
      </c>
      <c r="V69" s="43">
        <f t="shared" ref="V69:V70" si="14">SUM(T69:U69)</f>
        <v>4</v>
      </c>
      <c r="Y69" s="22">
        <f t="shared" si="7"/>
        <v>22</v>
      </c>
      <c r="Z69" s="22">
        <f t="shared" si="8"/>
        <v>91.666666666666657</v>
      </c>
    </row>
    <row r="70" spans="1:26" ht="18" x14ac:dyDescent="0.35">
      <c r="A70" s="2">
        <v>65</v>
      </c>
      <c r="B70" s="17" t="s">
        <v>164</v>
      </c>
      <c r="C70" s="21" t="s">
        <v>165</v>
      </c>
      <c r="D70" s="3">
        <v>2</v>
      </c>
      <c r="E70" s="3">
        <v>2</v>
      </c>
      <c r="F70" s="36">
        <f t="shared" ref="F70" si="15">SUM(D70:E70)</f>
        <v>4</v>
      </c>
      <c r="G70" s="3">
        <v>0</v>
      </c>
      <c r="H70" s="3">
        <v>2</v>
      </c>
      <c r="I70" s="36">
        <f t="shared" ref="I70" si="16">SUM(G70:H70)</f>
        <v>2</v>
      </c>
      <c r="J70" s="3">
        <v>2</v>
      </c>
      <c r="K70" s="3">
        <v>2</v>
      </c>
      <c r="L70" s="36">
        <f t="shared" ref="L70" si="17">SUM(J70:K70)</f>
        <v>4</v>
      </c>
      <c r="M70" s="3">
        <v>2</v>
      </c>
      <c r="N70" s="38">
        <f t="shared" ref="N70" si="18">SUM(M70:M70)</f>
        <v>2</v>
      </c>
      <c r="O70" s="3">
        <v>2</v>
      </c>
      <c r="P70" s="3">
        <v>2</v>
      </c>
      <c r="Q70" s="43">
        <f t="shared" si="12"/>
        <v>4</v>
      </c>
      <c r="R70" s="3">
        <v>2</v>
      </c>
      <c r="S70" s="43">
        <f t="shared" si="13"/>
        <v>2</v>
      </c>
      <c r="T70" s="3">
        <v>2</v>
      </c>
      <c r="U70" s="3">
        <v>2</v>
      </c>
      <c r="V70" s="43">
        <f t="shared" si="14"/>
        <v>4</v>
      </c>
      <c r="Y70" s="22">
        <f t="shared" si="7"/>
        <v>22</v>
      </c>
      <c r="Z70" s="22">
        <f t="shared" si="8"/>
        <v>91.666666666666657</v>
      </c>
    </row>
  </sheetData>
  <mergeCells count="16">
    <mergeCell ref="M2"/>
    <mergeCell ref="N2:N3"/>
    <mergeCell ref="A3:A4"/>
    <mergeCell ref="B3:B4"/>
    <mergeCell ref="A5:B5"/>
    <mergeCell ref="D2:E2"/>
    <mergeCell ref="F2:F3"/>
    <mergeCell ref="G2:H2"/>
    <mergeCell ref="I2:I3"/>
    <mergeCell ref="J2:K2"/>
    <mergeCell ref="L2:L3"/>
    <mergeCell ref="V2:V3"/>
    <mergeCell ref="O2:P2"/>
    <mergeCell ref="Q2:Q3"/>
    <mergeCell ref="S2:S3"/>
    <mergeCell ref="T2:U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tabSelected="1" topLeftCell="B54" zoomScale="80" zoomScaleNormal="80" workbookViewId="0">
      <selection activeCell="B69" sqref="B69"/>
    </sheetView>
  </sheetViews>
  <sheetFormatPr defaultColWidth="9.109375" defaultRowHeight="13.8" x14ac:dyDescent="0.25"/>
  <cols>
    <col min="1" max="1" width="6.109375" style="15" customWidth="1"/>
    <col min="2" max="2" width="14.109375" style="15" customWidth="1"/>
    <col min="3" max="3" width="34.44140625" style="15" bestFit="1" customWidth="1"/>
    <col min="4" max="11" width="9.109375" style="15" customWidth="1"/>
    <col min="12" max="12" width="9.109375" style="15"/>
    <col min="13" max="13" width="9.109375" style="15" customWidth="1"/>
    <col min="14" max="14" width="9.109375" style="15"/>
    <col min="15" max="16" width="9.109375" style="15" customWidth="1"/>
    <col min="17" max="17" width="9.109375" style="15"/>
    <col min="18" max="18" width="9.109375" style="15" customWidth="1"/>
    <col min="19" max="19" width="9.109375" style="15"/>
    <col min="20" max="21" width="9.109375" style="15" customWidth="1"/>
    <col min="22" max="16384" width="9.109375" style="15"/>
  </cols>
  <sheetData>
    <row r="1" spans="1:26" ht="15.75" thickBot="1" x14ac:dyDescent="0.3"/>
    <row r="2" spans="1:26" ht="15.75" customHeight="1" thickBot="1" x14ac:dyDescent="0.45">
      <c r="A2" s="71"/>
      <c r="B2" s="71"/>
      <c r="C2" s="71"/>
      <c r="D2" s="72" t="s">
        <v>35</v>
      </c>
      <c r="E2" s="72"/>
      <c r="F2" s="73" t="s">
        <v>16</v>
      </c>
      <c r="G2" s="74" t="s">
        <v>7</v>
      </c>
      <c r="H2" s="75"/>
      <c r="I2" s="73" t="s">
        <v>17</v>
      </c>
      <c r="J2" s="72" t="s">
        <v>7</v>
      </c>
      <c r="K2" s="72"/>
      <c r="L2" s="73" t="s">
        <v>18</v>
      </c>
      <c r="M2" s="76" t="s">
        <v>166</v>
      </c>
      <c r="N2" s="77" t="s">
        <v>19</v>
      </c>
      <c r="O2" s="76" t="s">
        <v>166</v>
      </c>
      <c r="P2" s="76"/>
      <c r="Q2" s="78" t="s">
        <v>168</v>
      </c>
      <c r="R2" s="76" t="s">
        <v>171</v>
      </c>
      <c r="S2" s="77" t="s">
        <v>169</v>
      </c>
      <c r="T2" s="76" t="s">
        <v>171</v>
      </c>
      <c r="U2" s="76"/>
      <c r="V2" s="77" t="s">
        <v>170</v>
      </c>
    </row>
    <row r="3" spans="1:26" ht="22.8" x14ac:dyDescent="0.4">
      <c r="A3" s="79"/>
      <c r="B3" s="80"/>
      <c r="C3" s="81"/>
      <c r="D3" s="82" t="s">
        <v>11</v>
      </c>
      <c r="E3" s="82" t="s">
        <v>11</v>
      </c>
      <c r="F3" s="83"/>
      <c r="G3" s="82" t="s">
        <v>11</v>
      </c>
      <c r="H3" s="82" t="s">
        <v>11</v>
      </c>
      <c r="I3" s="83"/>
      <c r="J3" s="82" t="s">
        <v>11</v>
      </c>
      <c r="K3" s="82" t="s">
        <v>11</v>
      </c>
      <c r="L3" s="83"/>
      <c r="M3" s="84" t="s">
        <v>4</v>
      </c>
      <c r="N3" s="77"/>
      <c r="O3" s="84" t="s">
        <v>4</v>
      </c>
      <c r="P3" s="84" t="s">
        <v>4</v>
      </c>
      <c r="Q3" s="85"/>
      <c r="R3" s="84" t="s">
        <v>4</v>
      </c>
      <c r="S3" s="77"/>
      <c r="T3" s="84" t="s">
        <v>4</v>
      </c>
      <c r="U3" s="84" t="s">
        <v>4</v>
      </c>
      <c r="V3" s="77"/>
    </row>
    <row r="4" spans="1:26" ht="22.8" x14ac:dyDescent="0.4">
      <c r="A4" s="79"/>
      <c r="B4" s="80"/>
      <c r="C4" s="86" t="s">
        <v>167</v>
      </c>
      <c r="D4" s="87">
        <v>18</v>
      </c>
      <c r="E4" s="87">
        <v>25</v>
      </c>
      <c r="F4" s="87"/>
      <c r="G4" s="84">
        <v>1</v>
      </c>
      <c r="H4" s="84">
        <v>8</v>
      </c>
      <c r="I4" s="84"/>
      <c r="J4" s="84">
        <v>22</v>
      </c>
      <c r="K4" s="84">
        <v>29</v>
      </c>
      <c r="L4" s="88"/>
      <c r="M4" s="84">
        <v>12</v>
      </c>
      <c r="N4" s="89"/>
      <c r="O4" s="84">
        <v>19</v>
      </c>
      <c r="P4" s="84">
        <v>26</v>
      </c>
      <c r="Q4" s="89"/>
      <c r="R4" s="84">
        <v>10</v>
      </c>
      <c r="S4" s="89"/>
      <c r="T4" s="84">
        <v>17</v>
      </c>
      <c r="U4" s="84">
        <v>24</v>
      </c>
      <c r="V4" s="89"/>
    </row>
    <row r="5" spans="1:26" s="26" customFormat="1" ht="21" customHeight="1" x14ac:dyDescent="0.3">
      <c r="A5" s="90" t="s">
        <v>0</v>
      </c>
      <c r="B5" s="90"/>
      <c r="C5" s="91"/>
      <c r="D5" s="92">
        <v>2</v>
      </c>
      <c r="E5" s="92">
        <v>2</v>
      </c>
      <c r="F5" s="93">
        <f>SUM(D5:E5)</f>
        <v>4</v>
      </c>
      <c r="G5" s="92">
        <v>2</v>
      </c>
      <c r="H5" s="92">
        <v>2</v>
      </c>
      <c r="I5" s="93">
        <f>SUM(G5:H5)</f>
        <v>4</v>
      </c>
      <c r="J5" s="92">
        <v>2</v>
      </c>
      <c r="K5" s="92">
        <v>2</v>
      </c>
      <c r="L5" s="93">
        <f>SUM(J5:K5)</f>
        <v>4</v>
      </c>
      <c r="M5" s="94">
        <v>2</v>
      </c>
      <c r="N5" s="95">
        <f>SUM(M5:M5)</f>
        <v>2</v>
      </c>
      <c r="O5" s="94">
        <v>2</v>
      </c>
      <c r="P5" s="94">
        <v>2</v>
      </c>
      <c r="Q5" s="95">
        <f t="shared" ref="Q5:Q36" si="0">SUM(O5:P5)</f>
        <v>4</v>
      </c>
      <c r="R5" s="92">
        <v>2</v>
      </c>
      <c r="S5" s="95">
        <f t="shared" ref="S5:S36" si="1">SUM(R5:R5)</f>
        <v>2</v>
      </c>
      <c r="T5" s="92">
        <v>2</v>
      </c>
      <c r="U5" s="94">
        <v>2</v>
      </c>
      <c r="V5" s="95">
        <f t="shared" ref="V5:V36" si="2">SUM(T5:U5)</f>
        <v>4</v>
      </c>
      <c r="Y5" s="28">
        <f>F5+I5+L5+N5+Q5+S5+V5</f>
        <v>24</v>
      </c>
      <c r="Z5" s="28"/>
    </row>
    <row r="6" spans="1:26" ht="22.8" x14ac:dyDescent="0.4">
      <c r="A6" s="96">
        <v>1</v>
      </c>
      <c r="B6" s="97" t="s">
        <v>36</v>
      </c>
      <c r="C6" s="98" t="s">
        <v>37</v>
      </c>
      <c r="D6" s="99">
        <v>2</v>
      </c>
      <c r="E6" s="99">
        <v>2</v>
      </c>
      <c r="F6" s="93">
        <f t="shared" ref="F6:F69" si="3">SUM(D6:E6)</f>
        <v>4</v>
      </c>
      <c r="G6" s="99">
        <v>2</v>
      </c>
      <c r="H6" s="99">
        <v>2</v>
      </c>
      <c r="I6" s="93">
        <f t="shared" ref="I6:I69" si="4">SUM(G6:H6)</f>
        <v>4</v>
      </c>
      <c r="J6" s="99">
        <v>2</v>
      </c>
      <c r="K6" s="99">
        <v>2</v>
      </c>
      <c r="L6" s="93">
        <f t="shared" ref="L6:L69" si="5">SUM(J6:K6)</f>
        <v>4</v>
      </c>
      <c r="M6" s="99">
        <v>2</v>
      </c>
      <c r="N6" s="95">
        <f t="shared" ref="N6:N69" si="6">SUM(M6:M6)</f>
        <v>2</v>
      </c>
      <c r="O6" s="99">
        <v>0</v>
      </c>
      <c r="P6" s="99">
        <v>0</v>
      </c>
      <c r="Q6" s="100">
        <f t="shared" si="0"/>
        <v>0</v>
      </c>
      <c r="R6" s="99">
        <v>2</v>
      </c>
      <c r="S6" s="100">
        <f t="shared" si="1"/>
        <v>2</v>
      </c>
      <c r="T6" s="99">
        <v>2</v>
      </c>
      <c r="U6" s="99">
        <v>2</v>
      </c>
      <c r="V6" s="100">
        <f t="shared" si="2"/>
        <v>4</v>
      </c>
      <c r="Y6" s="22">
        <f>F6+I6+L6+N6+Q6+S6+V6</f>
        <v>20</v>
      </c>
      <c r="Z6" s="22">
        <f>Y6/24*100</f>
        <v>83.333333333333343</v>
      </c>
    </row>
    <row r="7" spans="1:26" ht="22.8" x14ac:dyDescent="0.4">
      <c r="A7" s="96">
        <v>2</v>
      </c>
      <c r="B7" s="97" t="s">
        <v>38</v>
      </c>
      <c r="C7" s="98" t="s">
        <v>39</v>
      </c>
      <c r="D7" s="99">
        <v>2</v>
      </c>
      <c r="E7" s="99">
        <v>0</v>
      </c>
      <c r="F7" s="93">
        <f t="shared" si="3"/>
        <v>2</v>
      </c>
      <c r="G7" s="99">
        <v>2</v>
      </c>
      <c r="H7" s="99">
        <v>2</v>
      </c>
      <c r="I7" s="93">
        <f t="shared" si="4"/>
        <v>4</v>
      </c>
      <c r="J7" s="99">
        <v>2</v>
      </c>
      <c r="K7" s="99">
        <v>2</v>
      </c>
      <c r="L7" s="93">
        <f t="shared" si="5"/>
        <v>4</v>
      </c>
      <c r="M7" s="99">
        <v>2</v>
      </c>
      <c r="N7" s="95">
        <f t="shared" si="6"/>
        <v>2</v>
      </c>
      <c r="O7" s="99">
        <v>2</v>
      </c>
      <c r="P7" s="99">
        <v>2</v>
      </c>
      <c r="Q7" s="100">
        <f t="shared" si="0"/>
        <v>4</v>
      </c>
      <c r="R7" s="99">
        <v>2</v>
      </c>
      <c r="S7" s="100">
        <f t="shared" si="1"/>
        <v>2</v>
      </c>
      <c r="T7" s="99">
        <v>2</v>
      </c>
      <c r="U7" s="99">
        <v>2</v>
      </c>
      <c r="V7" s="100">
        <f t="shared" si="2"/>
        <v>4</v>
      </c>
      <c r="Y7" s="22">
        <f t="shared" ref="Y7:Y70" si="7">F7+I7+L7+N7+Q7+S7+V7</f>
        <v>22</v>
      </c>
      <c r="Z7" s="22">
        <f t="shared" ref="Z7:Z70" si="8">Y7/24*100</f>
        <v>91.666666666666657</v>
      </c>
    </row>
    <row r="8" spans="1:26" ht="22.8" x14ac:dyDescent="0.4">
      <c r="A8" s="96">
        <v>3</v>
      </c>
      <c r="B8" s="97" t="s">
        <v>40</v>
      </c>
      <c r="C8" s="98" t="s">
        <v>41</v>
      </c>
      <c r="D8" s="99">
        <v>2</v>
      </c>
      <c r="E8" s="99">
        <v>2</v>
      </c>
      <c r="F8" s="93">
        <f t="shared" si="3"/>
        <v>4</v>
      </c>
      <c r="G8" s="99">
        <v>0</v>
      </c>
      <c r="H8" s="99">
        <v>2</v>
      </c>
      <c r="I8" s="93">
        <f t="shared" si="4"/>
        <v>2</v>
      </c>
      <c r="J8" s="99">
        <v>2</v>
      </c>
      <c r="K8" s="99">
        <v>2</v>
      </c>
      <c r="L8" s="93">
        <f t="shared" si="5"/>
        <v>4</v>
      </c>
      <c r="M8" s="99">
        <v>2</v>
      </c>
      <c r="N8" s="95">
        <f t="shared" si="6"/>
        <v>2</v>
      </c>
      <c r="O8" s="99">
        <v>0</v>
      </c>
      <c r="P8" s="99">
        <v>0</v>
      </c>
      <c r="Q8" s="100">
        <f t="shared" si="0"/>
        <v>0</v>
      </c>
      <c r="R8" s="99">
        <v>2</v>
      </c>
      <c r="S8" s="100">
        <f t="shared" si="1"/>
        <v>2</v>
      </c>
      <c r="T8" s="99">
        <v>2</v>
      </c>
      <c r="U8" s="99">
        <v>2</v>
      </c>
      <c r="V8" s="100">
        <f t="shared" si="2"/>
        <v>4</v>
      </c>
      <c r="Y8" s="22">
        <f t="shared" si="7"/>
        <v>18</v>
      </c>
      <c r="Z8" s="22">
        <f t="shared" si="8"/>
        <v>75</v>
      </c>
    </row>
    <row r="9" spans="1:26" ht="22.8" x14ac:dyDescent="0.4">
      <c r="A9" s="96">
        <v>4</v>
      </c>
      <c r="B9" s="97" t="s">
        <v>42</v>
      </c>
      <c r="C9" s="98" t="s">
        <v>43</v>
      </c>
      <c r="D9" s="99">
        <v>2</v>
      </c>
      <c r="E9" s="99">
        <v>2</v>
      </c>
      <c r="F9" s="93">
        <f t="shared" si="3"/>
        <v>4</v>
      </c>
      <c r="G9" s="99">
        <v>2</v>
      </c>
      <c r="H9" s="99">
        <v>0</v>
      </c>
      <c r="I9" s="93">
        <f t="shared" si="4"/>
        <v>2</v>
      </c>
      <c r="J9" s="99">
        <v>2</v>
      </c>
      <c r="K9" s="99">
        <v>2</v>
      </c>
      <c r="L9" s="93">
        <f t="shared" si="5"/>
        <v>4</v>
      </c>
      <c r="M9" s="99">
        <v>2</v>
      </c>
      <c r="N9" s="95">
        <f t="shared" si="6"/>
        <v>2</v>
      </c>
      <c r="O9" s="99">
        <v>2</v>
      </c>
      <c r="P9" s="99">
        <v>2</v>
      </c>
      <c r="Q9" s="100">
        <f t="shared" si="0"/>
        <v>4</v>
      </c>
      <c r="R9" s="99">
        <v>2</v>
      </c>
      <c r="S9" s="100">
        <f t="shared" si="1"/>
        <v>2</v>
      </c>
      <c r="T9" s="99">
        <v>2</v>
      </c>
      <c r="U9" s="99">
        <v>2</v>
      </c>
      <c r="V9" s="100">
        <f t="shared" si="2"/>
        <v>4</v>
      </c>
      <c r="Y9" s="22">
        <f t="shared" si="7"/>
        <v>22</v>
      </c>
      <c r="Z9" s="22">
        <f t="shared" si="8"/>
        <v>91.666666666666657</v>
      </c>
    </row>
    <row r="10" spans="1:26" ht="22.8" x14ac:dyDescent="0.4">
      <c r="A10" s="96">
        <v>5</v>
      </c>
      <c r="B10" s="97" t="s">
        <v>44</v>
      </c>
      <c r="C10" s="98" t="s">
        <v>45</v>
      </c>
      <c r="D10" s="99">
        <v>2</v>
      </c>
      <c r="E10" s="99">
        <v>2</v>
      </c>
      <c r="F10" s="93">
        <f t="shared" si="3"/>
        <v>4</v>
      </c>
      <c r="G10" s="99">
        <v>2</v>
      </c>
      <c r="H10" s="99">
        <v>2</v>
      </c>
      <c r="I10" s="93">
        <f t="shared" si="4"/>
        <v>4</v>
      </c>
      <c r="J10" s="99">
        <v>0</v>
      </c>
      <c r="K10" s="99">
        <v>2</v>
      </c>
      <c r="L10" s="93">
        <f t="shared" si="5"/>
        <v>2</v>
      </c>
      <c r="M10" s="99">
        <v>2</v>
      </c>
      <c r="N10" s="95">
        <f t="shared" si="6"/>
        <v>2</v>
      </c>
      <c r="O10" s="99">
        <v>0</v>
      </c>
      <c r="P10" s="99">
        <v>0</v>
      </c>
      <c r="Q10" s="100">
        <f t="shared" si="0"/>
        <v>0</v>
      </c>
      <c r="R10" s="99">
        <v>2</v>
      </c>
      <c r="S10" s="100">
        <f t="shared" si="1"/>
        <v>2</v>
      </c>
      <c r="T10" s="99">
        <v>2</v>
      </c>
      <c r="U10" s="99">
        <v>2</v>
      </c>
      <c r="V10" s="100">
        <f t="shared" si="2"/>
        <v>4</v>
      </c>
      <c r="Y10" s="22">
        <f t="shared" si="7"/>
        <v>18</v>
      </c>
      <c r="Z10" s="22">
        <f t="shared" si="8"/>
        <v>75</v>
      </c>
    </row>
    <row r="11" spans="1:26" ht="22.8" x14ac:dyDescent="0.4">
      <c r="A11" s="96">
        <v>6</v>
      </c>
      <c r="B11" s="97" t="s">
        <v>46</v>
      </c>
      <c r="C11" s="98" t="s">
        <v>47</v>
      </c>
      <c r="D11" s="99">
        <v>2</v>
      </c>
      <c r="E11" s="99">
        <v>2</v>
      </c>
      <c r="F11" s="93">
        <f t="shared" si="3"/>
        <v>4</v>
      </c>
      <c r="G11" s="99">
        <v>2</v>
      </c>
      <c r="H11" s="99">
        <v>2</v>
      </c>
      <c r="I11" s="93">
        <f t="shared" si="4"/>
        <v>4</v>
      </c>
      <c r="J11" s="99">
        <v>2</v>
      </c>
      <c r="K11" s="99">
        <v>0</v>
      </c>
      <c r="L11" s="93">
        <f t="shared" si="5"/>
        <v>2</v>
      </c>
      <c r="M11" s="99">
        <v>2</v>
      </c>
      <c r="N11" s="95">
        <f t="shared" si="6"/>
        <v>2</v>
      </c>
      <c r="O11" s="99">
        <v>0</v>
      </c>
      <c r="P11" s="99">
        <v>0</v>
      </c>
      <c r="Q11" s="100">
        <f t="shared" si="0"/>
        <v>0</v>
      </c>
      <c r="R11" s="99">
        <v>2</v>
      </c>
      <c r="S11" s="100">
        <f t="shared" si="1"/>
        <v>2</v>
      </c>
      <c r="T11" s="99">
        <v>2</v>
      </c>
      <c r="U11" s="99">
        <v>2</v>
      </c>
      <c r="V11" s="100">
        <f t="shared" si="2"/>
        <v>4</v>
      </c>
      <c r="Y11" s="22">
        <f t="shared" si="7"/>
        <v>18</v>
      </c>
      <c r="Z11" s="22">
        <f t="shared" si="8"/>
        <v>75</v>
      </c>
    </row>
    <row r="12" spans="1:26" ht="22.8" x14ac:dyDescent="0.4">
      <c r="A12" s="96">
        <v>7</v>
      </c>
      <c r="B12" s="97" t="s">
        <v>48</v>
      </c>
      <c r="C12" s="98" t="s">
        <v>49</v>
      </c>
      <c r="D12" s="99">
        <v>2</v>
      </c>
      <c r="E12" s="99">
        <v>2</v>
      </c>
      <c r="F12" s="93">
        <f t="shared" si="3"/>
        <v>4</v>
      </c>
      <c r="G12" s="99">
        <v>2</v>
      </c>
      <c r="H12" s="99">
        <v>2</v>
      </c>
      <c r="I12" s="93">
        <f t="shared" si="4"/>
        <v>4</v>
      </c>
      <c r="J12" s="99">
        <v>2</v>
      </c>
      <c r="K12" s="99">
        <v>2</v>
      </c>
      <c r="L12" s="93">
        <f t="shared" si="5"/>
        <v>4</v>
      </c>
      <c r="M12" s="99">
        <v>0</v>
      </c>
      <c r="N12" s="95">
        <f t="shared" si="6"/>
        <v>0</v>
      </c>
      <c r="O12" s="99">
        <v>2</v>
      </c>
      <c r="P12" s="99">
        <v>2</v>
      </c>
      <c r="Q12" s="100">
        <f t="shared" si="0"/>
        <v>4</v>
      </c>
      <c r="R12" s="99">
        <v>2</v>
      </c>
      <c r="S12" s="100">
        <f t="shared" si="1"/>
        <v>2</v>
      </c>
      <c r="T12" s="99">
        <v>2</v>
      </c>
      <c r="U12" s="99">
        <v>2</v>
      </c>
      <c r="V12" s="100">
        <f t="shared" si="2"/>
        <v>4</v>
      </c>
      <c r="Y12" s="22">
        <f t="shared" si="7"/>
        <v>22</v>
      </c>
      <c r="Z12" s="22">
        <f t="shared" si="8"/>
        <v>91.666666666666657</v>
      </c>
    </row>
    <row r="13" spans="1:26" ht="22.8" x14ac:dyDescent="0.4">
      <c r="A13" s="96">
        <v>8</v>
      </c>
      <c r="B13" s="97" t="s">
        <v>50</v>
      </c>
      <c r="C13" s="98" t="s">
        <v>51</v>
      </c>
      <c r="D13" s="99">
        <v>2</v>
      </c>
      <c r="E13" s="99">
        <v>2</v>
      </c>
      <c r="F13" s="93">
        <f t="shared" si="3"/>
        <v>4</v>
      </c>
      <c r="G13" s="99">
        <v>2</v>
      </c>
      <c r="H13" s="99">
        <v>2</v>
      </c>
      <c r="I13" s="93">
        <f t="shared" si="4"/>
        <v>4</v>
      </c>
      <c r="J13" s="99">
        <v>2</v>
      </c>
      <c r="K13" s="99">
        <v>2</v>
      </c>
      <c r="L13" s="93">
        <f t="shared" si="5"/>
        <v>4</v>
      </c>
      <c r="M13" s="99">
        <v>2</v>
      </c>
      <c r="N13" s="95">
        <f t="shared" si="6"/>
        <v>2</v>
      </c>
      <c r="O13" s="99">
        <v>0</v>
      </c>
      <c r="P13" s="99">
        <v>0</v>
      </c>
      <c r="Q13" s="100">
        <f t="shared" si="0"/>
        <v>0</v>
      </c>
      <c r="R13" s="99">
        <v>2</v>
      </c>
      <c r="S13" s="100">
        <f t="shared" si="1"/>
        <v>2</v>
      </c>
      <c r="T13" s="99">
        <v>2</v>
      </c>
      <c r="U13" s="99">
        <v>2</v>
      </c>
      <c r="V13" s="100">
        <f t="shared" si="2"/>
        <v>4</v>
      </c>
      <c r="Y13" s="22">
        <f t="shared" si="7"/>
        <v>20</v>
      </c>
      <c r="Z13" s="22">
        <f t="shared" si="8"/>
        <v>83.333333333333343</v>
      </c>
    </row>
    <row r="14" spans="1:26" ht="22.8" x14ac:dyDescent="0.4">
      <c r="A14" s="96">
        <v>9</v>
      </c>
      <c r="B14" s="97" t="s">
        <v>52</v>
      </c>
      <c r="C14" s="98" t="s">
        <v>53</v>
      </c>
      <c r="D14" s="99">
        <v>2</v>
      </c>
      <c r="E14" s="99">
        <v>2</v>
      </c>
      <c r="F14" s="93">
        <f t="shared" si="3"/>
        <v>4</v>
      </c>
      <c r="G14" s="99">
        <v>2</v>
      </c>
      <c r="H14" s="99">
        <v>2</v>
      </c>
      <c r="I14" s="93">
        <f t="shared" si="4"/>
        <v>4</v>
      </c>
      <c r="J14" s="99">
        <v>2</v>
      </c>
      <c r="K14" s="99">
        <v>0</v>
      </c>
      <c r="L14" s="93">
        <f t="shared" si="5"/>
        <v>2</v>
      </c>
      <c r="M14" s="99">
        <v>2</v>
      </c>
      <c r="N14" s="95">
        <f t="shared" si="6"/>
        <v>2</v>
      </c>
      <c r="O14" s="99">
        <v>0</v>
      </c>
      <c r="P14" s="99">
        <v>0</v>
      </c>
      <c r="Q14" s="100">
        <f t="shared" si="0"/>
        <v>0</v>
      </c>
      <c r="R14" s="99">
        <v>2</v>
      </c>
      <c r="S14" s="100">
        <f t="shared" si="1"/>
        <v>2</v>
      </c>
      <c r="T14" s="99">
        <v>2</v>
      </c>
      <c r="U14" s="99">
        <v>2</v>
      </c>
      <c r="V14" s="100">
        <f t="shared" si="2"/>
        <v>4</v>
      </c>
      <c r="Y14" s="22">
        <f t="shared" si="7"/>
        <v>18</v>
      </c>
      <c r="Z14" s="22">
        <f t="shared" si="8"/>
        <v>75</v>
      </c>
    </row>
    <row r="15" spans="1:26" ht="22.8" x14ac:dyDescent="0.4">
      <c r="A15" s="96">
        <v>10</v>
      </c>
      <c r="B15" s="97" t="s">
        <v>54</v>
      </c>
      <c r="C15" s="98" t="s">
        <v>55</v>
      </c>
      <c r="D15" s="99">
        <v>2</v>
      </c>
      <c r="E15" s="99">
        <v>2</v>
      </c>
      <c r="F15" s="93">
        <f t="shared" si="3"/>
        <v>4</v>
      </c>
      <c r="G15" s="99">
        <v>2</v>
      </c>
      <c r="H15" s="99">
        <v>2</v>
      </c>
      <c r="I15" s="93">
        <f t="shared" si="4"/>
        <v>4</v>
      </c>
      <c r="J15" s="99">
        <v>0</v>
      </c>
      <c r="K15" s="99">
        <v>2</v>
      </c>
      <c r="L15" s="93">
        <f t="shared" si="5"/>
        <v>2</v>
      </c>
      <c r="M15" s="99">
        <v>2</v>
      </c>
      <c r="N15" s="95">
        <f t="shared" si="6"/>
        <v>2</v>
      </c>
      <c r="O15" s="99">
        <v>2</v>
      </c>
      <c r="P15" s="99">
        <v>2</v>
      </c>
      <c r="Q15" s="100">
        <f t="shared" si="0"/>
        <v>4</v>
      </c>
      <c r="R15" s="99">
        <v>2</v>
      </c>
      <c r="S15" s="100">
        <f t="shared" si="1"/>
        <v>2</v>
      </c>
      <c r="T15" s="99">
        <v>2</v>
      </c>
      <c r="U15" s="99">
        <v>2</v>
      </c>
      <c r="V15" s="100">
        <f t="shared" si="2"/>
        <v>4</v>
      </c>
      <c r="Y15" s="22">
        <f t="shared" si="7"/>
        <v>22</v>
      </c>
      <c r="Z15" s="22">
        <f t="shared" si="8"/>
        <v>91.666666666666657</v>
      </c>
    </row>
    <row r="16" spans="1:26" ht="22.8" x14ac:dyDescent="0.4">
      <c r="A16" s="96">
        <v>11</v>
      </c>
      <c r="B16" s="97" t="s">
        <v>56</v>
      </c>
      <c r="C16" s="98" t="s">
        <v>57</v>
      </c>
      <c r="D16" s="99">
        <v>2</v>
      </c>
      <c r="E16" s="99">
        <v>2</v>
      </c>
      <c r="F16" s="93">
        <f t="shared" si="3"/>
        <v>4</v>
      </c>
      <c r="G16" s="99">
        <v>2</v>
      </c>
      <c r="H16" s="99">
        <v>0</v>
      </c>
      <c r="I16" s="93">
        <f t="shared" si="4"/>
        <v>2</v>
      </c>
      <c r="J16" s="99">
        <v>2</v>
      </c>
      <c r="K16" s="99">
        <v>2</v>
      </c>
      <c r="L16" s="93">
        <f t="shared" si="5"/>
        <v>4</v>
      </c>
      <c r="M16" s="99">
        <v>2</v>
      </c>
      <c r="N16" s="95">
        <f t="shared" si="6"/>
        <v>2</v>
      </c>
      <c r="O16" s="99">
        <v>0</v>
      </c>
      <c r="P16" s="99">
        <v>0</v>
      </c>
      <c r="Q16" s="100">
        <f t="shared" si="0"/>
        <v>0</v>
      </c>
      <c r="R16" s="99">
        <v>2</v>
      </c>
      <c r="S16" s="100">
        <f t="shared" si="1"/>
        <v>2</v>
      </c>
      <c r="T16" s="99">
        <v>2</v>
      </c>
      <c r="U16" s="99">
        <v>2</v>
      </c>
      <c r="V16" s="100">
        <f t="shared" si="2"/>
        <v>4</v>
      </c>
      <c r="Y16" s="22">
        <f t="shared" si="7"/>
        <v>18</v>
      </c>
      <c r="Z16" s="22">
        <f t="shared" si="8"/>
        <v>75</v>
      </c>
    </row>
    <row r="17" spans="1:26" ht="22.8" x14ac:dyDescent="0.4">
      <c r="A17" s="96">
        <v>12</v>
      </c>
      <c r="B17" s="97" t="s">
        <v>58</v>
      </c>
      <c r="C17" s="98" t="s">
        <v>59</v>
      </c>
      <c r="D17" s="99">
        <v>2</v>
      </c>
      <c r="E17" s="99">
        <v>2</v>
      </c>
      <c r="F17" s="93">
        <f t="shared" si="3"/>
        <v>4</v>
      </c>
      <c r="G17" s="99">
        <v>0</v>
      </c>
      <c r="H17" s="99">
        <v>2</v>
      </c>
      <c r="I17" s="93">
        <f t="shared" si="4"/>
        <v>2</v>
      </c>
      <c r="J17" s="99">
        <v>2</v>
      </c>
      <c r="K17" s="99">
        <v>2</v>
      </c>
      <c r="L17" s="93">
        <f t="shared" si="5"/>
        <v>4</v>
      </c>
      <c r="M17" s="99">
        <v>2</v>
      </c>
      <c r="N17" s="95">
        <f t="shared" si="6"/>
        <v>2</v>
      </c>
      <c r="O17" s="99">
        <v>0</v>
      </c>
      <c r="P17" s="99">
        <v>0</v>
      </c>
      <c r="Q17" s="100">
        <f t="shared" si="0"/>
        <v>0</v>
      </c>
      <c r="R17" s="99">
        <v>2</v>
      </c>
      <c r="S17" s="100">
        <f t="shared" si="1"/>
        <v>2</v>
      </c>
      <c r="T17" s="99">
        <v>2</v>
      </c>
      <c r="U17" s="99">
        <v>2</v>
      </c>
      <c r="V17" s="100">
        <f t="shared" si="2"/>
        <v>4</v>
      </c>
      <c r="Y17" s="22">
        <f t="shared" si="7"/>
        <v>18</v>
      </c>
      <c r="Z17" s="22">
        <f t="shared" si="8"/>
        <v>75</v>
      </c>
    </row>
    <row r="18" spans="1:26" ht="22.8" x14ac:dyDescent="0.4">
      <c r="A18" s="96">
        <v>13</v>
      </c>
      <c r="B18" s="97" t="s">
        <v>60</v>
      </c>
      <c r="C18" s="98" t="s">
        <v>61</v>
      </c>
      <c r="D18" s="99">
        <v>2</v>
      </c>
      <c r="E18" s="99">
        <v>0</v>
      </c>
      <c r="F18" s="93">
        <f t="shared" si="3"/>
        <v>2</v>
      </c>
      <c r="G18" s="99">
        <v>2</v>
      </c>
      <c r="H18" s="99">
        <v>2</v>
      </c>
      <c r="I18" s="93">
        <f t="shared" si="4"/>
        <v>4</v>
      </c>
      <c r="J18" s="99">
        <v>2</v>
      </c>
      <c r="K18" s="99">
        <v>2</v>
      </c>
      <c r="L18" s="93">
        <f t="shared" si="5"/>
        <v>4</v>
      </c>
      <c r="M18" s="99">
        <v>2</v>
      </c>
      <c r="N18" s="95">
        <f t="shared" si="6"/>
        <v>2</v>
      </c>
      <c r="O18" s="99">
        <v>2</v>
      </c>
      <c r="P18" s="99">
        <v>2</v>
      </c>
      <c r="Q18" s="100">
        <f t="shared" si="0"/>
        <v>4</v>
      </c>
      <c r="R18" s="99">
        <v>2</v>
      </c>
      <c r="S18" s="100">
        <f t="shared" si="1"/>
        <v>2</v>
      </c>
      <c r="T18" s="99">
        <v>2</v>
      </c>
      <c r="U18" s="99">
        <v>2</v>
      </c>
      <c r="V18" s="100">
        <f t="shared" si="2"/>
        <v>4</v>
      </c>
      <c r="Y18" s="22">
        <f t="shared" si="7"/>
        <v>22</v>
      </c>
      <c r="Z18" s="22">
        <f t="shared" si="8"/>
        <v>91.666666666666657</v>
      </c>
    </row>
    <row r="19" spans="1:26" ht="22.8" x14ac:dyDescent="0.4">
      <c r="A19" s="96">
        <v>14</v>
      </c>
      <c r="B19" s="97" t="s">
        <v>62</v>
      </c>
      <c r="C19" s="98" t="s">
        <v>63</v>
      </c>
      <c r="D19" s="99">
        <v>0</v>
      </c>
      <c r="E19" s="99">
        <v>2</v>
      </c>
      <c r="F19" s="93">
        <f t="shared" si="3"/>
        <v>2</v>
      </c>
      <c r="G19" s="99">
        <v>2</v>
      </c>
      <c r="H19" s="99">
        <v>2</v>
      </c>
      <c r="I19" s="93">
        <f t="shared" si="4"/>
        <v>4</v>
      </c>
      <c r="J19" s="99">
        <v>2</v>
      </c>
      <c r="K19" s="99">
        <v>2</v>
      </c>
      <c r="L19" s="93">
        <f t="shared" si="5"/>
        <v>4</v>
      </c>
      <c r="M19" s="99">
        <v>2</v>
      </c>
      <c r="N19" s="95">
        <f t="shared" si="6"/>
        <v>2</v>
      </c>
      <c r="O19" s="99">
        <v>2</v>
      </c>
      <c r="P19" s="99">
        <v>2</v>
      </c>
      <c r="Q19" s="100">
        <f t="shared" si="0"/>
        <v>4</v>
      </c>
      <c r="R19" s="99">
        <v>2</v>
      </c>
      <c r="S19" s="100">
        <f t="shared" si="1"/>
        <v>2</v>
      </c>
      <c r="T19" s="99">
        <v>2</v>
      </c>
      <c r="U19" s="99">
        <v>2</v>
      </c>
      <c r="V19" s="100">
        <f t="shared" si="2"/>
        <v>4</v>
      </c>
      <c r="Y19" s="22">
        <f t="shared" si="7"/>
        <v>22</v>
      </c>
      <c r="Z19" s="22">
        <f t="shared" si="8"/>
        <v>91.666666666666657</v>
      </c>
    </row>
    <row r="20" spans="1:26" ht="22.8" x14ac:dyDescent="0.4">
      <c r="A20" s="96">
        <v>15</v>
      </c>
      <c r="B20" s="97" t="s">
        <v>64</v>
      </c>
      <c r="C20" s="98" t="s">
        <v>65</v>
      </c>
      <c r="D20" s="99">
        <v>2</v>
      </c>
      <c r="E20" s="99">
        <v>0</v>
      </c>
      <c r="F20" s="93">
        <f t="shared" si="3"/>
        <v>2</v>
      </c>
      <c r="G20" s="99">
        <v>2</v>
      </c>
      <c r="H20" s="99">
        <v>2</v>
      </c>
      <c r="I20" s="93">
        <f t="shared" si="4"/>
        <v>4</v>
      </c>
      <c r="J20" s="99">
        <v>2</v>
      </c>
      <c r="K20" s="99">
        <v>2</v>
      </c>
      <c r="L20" s="93">
        <f t="shared" si="5"/>
        <v>4</v>
      </c>
      <c r="M20" s="99">
        <v>2</v>
      </c>
      <c r="N20" s="95">
        <f t="shared" si="6"/>
        <v>2</v>
      </c>
      <c r="O20" s="99">
        <v>2</v>
      </c>
      <c r="P20" s="99">
        <v>2</v>
      </c>
      <c r="Q20" s="100">
        <f t="shared" si="0"/>
        <v>4</v>
      </c>
      <c r="R20" s="99">
        <v>2</v>
      </c>
      <c r="S20" s="100">
        <f t="shared" si="1"/>
        <v>2</v>
      </c>
      <c r="T20" s="99">
        <v>2</v>
      </c>
      <c r="U20" s="99">
        <v>2</v>
      </c>
      <c r="V20" s="100">
        <f t="shared" si="2"/>
        <v>4</v>
      </c>
      <c r="Y20" s="22">
        <f t="shared" si="7"/>
        <v>22</v>
      </c>
      <c r="Z20" s="22">
        <f t="shared" si="8"/>
        <v>91.666666666666657</v>
      </c>
    </row>
    <row r="21" spans="1:26" ht="22.8" x14ac:dyDescent="0.4">
      <c r="A21" s="96">
        <v>16</v>
      </c>
      <c r="B21" s="97" t="s">
        <v>66</v>
      </c>
      <c r="C21" s="98" t="s">
        <v>67</v>
      </c>
      <c r="D21" s="99">
        <v>2</v>
      </c>
      <c r="E21" s="99">
        <v>2</v>
      </c>
      <c r="F21" s="93">
        <f t="shared" si="3"/>
        <v>4</v>
      </c>
      <c r="G21" s="99">
        <v>0</v>
      </c>
      <c r="H21" s="99">
        <v>2</v>
      </c>
      <c r="I21" s="93">
        <f t="shared" si="4"/>
        <v>2</v>
      </c>
      <c r="J21" s="99">
        <v>2</v>
      </c>
      <c r="K21" s="99">
        <v>2</v>
      </c>
      <c r="L21" s="93">
        <f t="shared" si="5"/>
        <v>4</v>
      </c>
      <c r="M21" s="99">
        <v>2</v>
      </c>
      <c r="N21" s="95">
        <f t="shared" si="6"/>
        <v>2</v>
      </c>
      <c r="O21" s="99">
        <v>0</v>
      </c>
      <c r="P21" s="99">
        <v>0</v>
      </c>
      <c r="Q21" s="100">
        <f t="shared" si="0"/>
        <v>0</v>
      </c>
      <c r="R21" s="99">
        <v>2</v>
      </c>
      <c r="S21" s="100">
        <f t="shared" si="1"/>
        <v>2</v>
      </c>
      <c r="T21" s="99">
        <v>2</v>
      </c>
      <c r="U21" s="99">
        <v>2</v>
      </c>
      <c r="V21" s="100">
        <f t="shared" si="2"/>
        <v>4</v>
      </c>
      <c r="Y21" s="22">
        <f t="shared" si="7"/>
        <v>18</v>
      </c>
      <c r="Z21" s="22">
        <f t="shared" si="8"/>
        <v>75</v>
      </c>
    </row>
    <row r="22" spans="1:26" ht="22.8" x14ac:dyDescent="0.4">
      <c r="A22" s="96">
        <v>17</v>
      </c>
      <c r="B22" s="97" t="s">
        <v>68</v>
      </c>
      <c r="C22" s="98" t="s">
        <v>69</v>
      </c>
      <c r="D22" s="99">
        <v>2</v>
      </c>
      <c r="E22" s="99">
        <v>2</v>
      </c>
      <c r="F22" s="93">
        <f t="shared" si="3"/>
        <v>4</v>
      </c>
      <c r="G22" s="99">
        <v>2</v>
      </c>
      <c r="H22" s="99">
        <v>0</v>
      </c>
      <c r="I22" s="93">
        <f t="shared" si="4"/>
        <v>2</v>
      </c>
      <c r="J22" s="99">
        <v>2</v>
      </c>
      <c r="K22" s="99">
        <v>2</v>
      </c>
      <c r="L22" s="93">
        <f t="shared" si="5"/>
        <v>4</v>
      </c>
      <c r="M22" s="99">
        <v>2</v>
      </c>
      <c r="N22" s="95">
        <f t="shared" si="6"/>
        <v>2</v>
      </c>
      <c r="O22" s="99">
        <v>2</v>
      </c>
      <c r="P22" s="99">
        <v>2</v>
      </c>
      <c r="Q22" s="100">
        <f t="shared" si="0"/>
        <v>4</v>
      </c>
      <c r="R22" s="99">
        <v>2</v>
      </c>
      <c r="S22" s="100">
        <f t="shared" si="1"/>
        <v>2</v>
      </c>
      <c r="T22" s="99">
        <v>2</v>
      </c>
      <c r="U22" s="99">
        <v>2</v>
      </c>
      <c r="V22" s="100">
        <f t="shared" si="2"/>
        <v>4</v>
      </c>
      <c r="Y22" s="22">
        <f t="shared" si="7"/>
        <v>22</v>
      </c>
      <c r="Z22" s="22">
        <f t="shared" si="8"/>
        <v>91.666666666666657</v>
      </c>
    </row>
    <row r="23" spans="1:26" ht="22.8" x14ac:dyDescent="0.4">
      <c r="A23" s="96">
        <v>18</v>
      </c>
      <c r="B23" s="97" t="s">
        <v>70</v>
      </c>
      <c r="C23" s="98" t="s">
        <v>71</v>
      </c>
      <c r="D23" s="99">
        <v>2</v>
      </c>
      <c r="E23" s="99">
        <v>2</v>
      </c>
      <c r="F23" s="93">
        <f t="shared" si="3"/>
        <v>4</v>
      </c>
      <c r="G23" s="99">
        <v>2</v>
      </c>
      <c r="H23" s="99">
        <v>2</v>
      </c>
      <c r="I23" s="93">
        <f t="shared" si="4"/>
        <v>4</v>
      </c>
      <c r="J23" s="99">
        <v>0</v>
      </c>
      <c r="K23" s="99">
        <v>2</v>
      </c>
      <c r="L23" s="93">
        <f t="shared" si="5"/>
        <v>2</v>
      </c>
      <c r="M23" s="99">
        <v>2</v>
      </c>
      <c r="N23" s="95">
        <f t="shared" si="6"/>
        <v>2</v>
      </c>
      <c r="O23" s="99">
        <v>2</v>
      </c>
      <c r="P23" s="99">
        <v>2</v>
      </c>
      <c r="Q23" s="100">
        <f t="shared" si="0"/>
        <v>4</v>
      </c>
      <c r="R23" s="99">
        <v>2</v>
      </c>
      <c r="S23" s="100">
        <f t="shared" si="1"/>
        <v>2</v>
      </c>
      <c r="T23" s="99">
        <v>2</v>
      </c>
      <c r="U23" s="99">
        <v>2</v>
      </c>
      <c r="V23" s="100">
        <f t="shared" si="2"/>
        <v>4</v>
      </c>
      <c r="Y23" s="22">
        <f t="shared" si="7"/>
        <v>22</v>
      </c>
      <c r="Z23" s="22">
        <f t="shared" si="8"/>
        <v>91.666666666666657</v>
      </c>
    </row>
    <row r="24" spans="1:26" ht="22.8" x14ac:dyDescent="0.4">
      <c r="A24" s="96">
        <v>19</v>
      </c>
      <c r="B24" s="97" t="s">
        <v>72</v>
      </c>
      <c r="C24" s="98" t="s">
        <v>73</v>
      </c>
      <c r="D24" s="99">
        <v>2</v>
      </c>
      <c r="E24" s="99">
        <v>2</v>
      </c>
      <c r="F24" s="93">
        <f t="shared" si="3"/>
        <v>4</v>
      </c>
      <c r="G24" s="99">
        <v>2</v>
      </c>
      <c r="H24" s="99">
        <v>2</v>
      </c>
      <c r="I24" s="93">
        <f t="shared" si="4"/>
        <v>4</v>
      </c>
      <c r="J24" s="99">
        <v>2</v>
      </c>
      <c r="K24" s="99">
        <v>0</v>
      </c>
      <c r="L24" s="93">
        <f t="shared" si="5"/>
        <v>2</v>
      </c>
      <c r="M24" s="99">
        <v>2</v>
      </c>
      <c r="N24" s="95">
        <f t="shared" si="6"/>
        <v>2</v>
      </c>
      <c r="O24" s="99">
        <v>2</v>
      </c>
      <c r="P24" s="99">
        <v>2</v>
      </c>
      <c r="Q24" s="100">
        <f t="shared" si="0"/>
        <v>4</v>
      </c>
      <c r="R24" s="99">
        <v>2</v>
      </c>
      <c r="S24" s="100">
        <f t="shared" si="1"/>
        <v>2</v>
      </c>
      <c r="T24" s="99">
        <v>2</v>
      </c>
      <c r="U24" s="99">
        <v>2</v>
      </c>
      <c r="V24" s="100">
        <f t="shared" si="2"/>
        <v>4</v>
      </c>
      <c r="Y24" s="22">
        <f t="shared" si="7"/>
        <v>22</v>
      </c>
      <c r="Z24" s="22">
        <f t="shared" si="8"/>
        <v>91.666666666666657</v>
      </c>
    </row>
    <row r="25" spans="1:26" ht="22.8" x14ac:dyDescent="0.4">
      <c r="A25" s="96">
        <v>20</v>
      </c>
      <c r="B25" s="97" t="s">
        <v>74</v>
      </c>
      <c r="C25" s="98" t="s">
        <v>75</v>
      </c>
      <c r="D25" s="99">
        <v>2</v>
      </c>
      <c r="E25" s="99">
        <v>2</v>
      </c>
      <c r="F25" s="93">
        <f t="shared" si="3"/>
        <v>4</v>
      </c>
      <c r="G25" s="99">
        <v>2</v>
      </c>
      <c r="H25" s="99">
        <v>2</v>
      </c>
      <c r="I25" s="93">
        <f t="shared" si="4"/>
        <v>4</v>
      </c>
      <c r="J25" s="99">
        <v>2</v>
      </c>
      <c r="K25" s="99">
        <v>2</v>
      </c>
      <c r="L25" s="93">
        <f t="shared" si="5"/>
        <v>4</v>
      </c>
      <c r="M25" s="99">
        <v>0</v>
      </c>
      <c r="N25" s="95">
        <f t="shared" si="6"/>
        <v>0</v>
      </c>
      <c r="O25" s="99">
        <v>0</v>
      </c>
      <c r="P25" s="99">
        <v>0</v>
      </c>
      <c r="Q25" s="100">
        <f t="shared" si="0"/>
        <v>0</v>
      </c>
      <c r="R25" s="99">
        <v>2</v>
      </c>
      <c r="S25" s="100">
        <f t="shared" si="1"/>
        <v>2</v>
      </c>
      <c r="T25" s="99">
        <v>2</v>
      </c>
      <c r="U25" s="99">
        <v>2</v>
      </c>
      <c r="V25" s="100">
        <f t="shared" si="2"/>
        <v>4</v>
      </c>
      <c r="Y25" s="22">
        <f t="shared" si="7"/>
        <v>18</v>
      </c>
      <c r="Z25" s="22">
        <f t="shared" si="8"/>
        <v>75</v>
      </c>
    </row>
    <row r="26" spans="1:26" ht="22.8" x14ac:dyDescent="0.4">
      <c r="A26" s="96">
        <v>21</v>
      </c>
      <c r="B26" s="97" t="s">
        <v>76</v>
      </c>
      <c r="C26" s="98" t="s">
        <v>77</v>
      </c>
      <c r="D26" s="99">
        <v>2</v>
      </c>
      <c r="E26" s="99">
        <v>2</v>
      </c>
      <c r="F26" s="93">
        <f t="shared" si="3"/>
        <v>4</v>
      </c>
      <c r="G26" s="99">
        <v>2</v>
      </c>
      <c r="H26" s="99">
        <v>2</v>
      </c>
      <c r="I26" s="93">
        <f t="shared" si="4"/>
        <v>4</v>
      </c>
      <c r="J26" s="99">
        <v>2</v>
      </c>
      <c r="K26" s="99">
        <v>2</v>
      </c>
      <c r="L26" s="93">
        <f t="shared" si="5"/>
        <v>4</v>
      </c>
      <c r="M26" s="99">
        <v>2</v>
      </c>
      <c r="N26" s="95">
        <f t="shared" si="6"/>
        <v>2</v>
      </c>
      <c r="O26" s="99">
        <v>0</v>
      </c>
      <c r="P26" s="99">
        <v>0</v>
      </c>
      <c r="Q26" s="100">
        <f t="shared" si="0"/>
        <v>0</v>
      </c>
      <c r="R26" s="99">
        <v>2</v>
      </c>
      <c r="S26" s="100">
        <f t="shared" si="1"/>
        <v>2</v>
      </c>
      <c r="T26" s="99">
        <v>2</v>
      </c>
      <c r="U26" s="99">
        <v>2</v>
      </c>
      <c r="V26" s="100">
        <f t="shared" si="2"/>
        <v>4</v>
      </c>
      <c r="Y26" s="22">
        <f t="shared" si="7"/>
        <v>20</v>
      </c>
      <c r="Z26" s="22">
        <f t="shared" si="8"/>
        <v>83.333333333333343</v>
      </c>
    </row>
    <row r="27" spans="1:26" ht="22.8" x14ac:dyDescent="0.4">
      <c r="A27" s="96">
        <v>22</v>
      </c>
      <c r="B27" s="97" t="s">
        <v>78</v>
      </c>
      <c r="C27" s="98" t="s">
        <v>79</v>
      </c>
      <c r="D27" s="99">
        <v>2</v>
      </c>
      <c r="E27" s="99">
        <v>2</v>
      </c>
      <c r="F27" s="93">
        <f t="shared" si="3"/>
        <v>4</v>
      </c>
      <c r="G27" s="99">
        <v>0</v>
      </c>
      <c r="H27" s="99">
        <v>2</v>
      </c>
      <c r="I27" s="93">
        <f t="shared" si="4"/>
        <v>2</v>
      </c>
      <c r="J27" s="99">
        <v>2</v>
      </c>
      <c r="K27" s="99">
        <v>2</v>
      </c>
      <c r="L27" s="93">
        <f t="shared" si="5"/>
        <v>4</v>
      </c>
      <c r="M27" s="99">
        <v>2</v>
      </c>
      <c r="N27" s="95">
        <f t="shared" si="6"/>
        <v>2</v>
      </c>
      <c r="O27" s="99">
        <v>2</v>
      </c>
      <c r="P27" s="99">
        <v>2</v>
      </c>
      <c r="Q27" s="100">
        <f t="shared" si="0"/>
        <v>4</v>
      </c>
      <c r="R27" s="99">
        <v>2</v>
      </c>
      <c r="S27" s="100">
        <f t="shared" si="1"/>
        <v>2</v>
      </c>
      <c r="T27" s="99">
        <v>2</v>
      </c>
      <c r="U27" s="99">
        <v>2</v>
      </c>
      <c r="V27" s="100">
        <f t="shared" si="2"/>
        <v>4</v>
      </c>
      <c r="Y27" s="22">
        <f t="shared" si="7"/>
        <v>22</v>
      </c>
      <c r="Z27" s="22">
        <f t="shared" si="8"/>
        <v>91.666666666666657</v>
      </c>
    </row>
    <row r="28" spans="1:26" ht="22.8" x14ac:dyDescent="0.4">
      <c r="A28" s="96">
        <v>23</v>
      </c>
      <c r="B28" s="97" t="s">
        <v>80</v>
      </c>
      <c r="C28" s="98" t="s">
        <v>81</v>
      </c>
      <c r="D28" s="99">
        <v>2</v>
      </c>
      <c r="E28" s="99">
        <v>2</v>
      </c>
      <c r="F28" s="93">
        <f t="shared" si="3"/>
        <v>4</v>
      </c>
      <c r="G28" s="99">
        <v>2</v>
      </c>
      <c r="H28" s="99">
        <v>2</v>
      </c>
      <c r="I28" s="93">
        <f t="shared" si="4"/>
        <v>4</v>
      </c>
      <c r="J28" s="99">
        <v>2</v>
      </c>
      <c r="K28" s="99">
        <v>2</v>
      </c>
      <c r="L28" s="93">
        <f t="shared" si="5"/>
        <v>4</v>
      </c>
      <c r="M28" s="99">
        <v>2</v>
      </c>
      <c r="N28" s="95">
        <f t="shared" si="6"/>
        <v>2</v>
      </c>
      <c r="O28" s="99">
        <v>0</v>
      </c>
      <c r="P28" s="99">
        <v>0</v>
      </c>
      <c r="Q28" s="100">
        <f t="shared" si="0"/>
        <v>0</v>
      </c>
      <c r="R28" s="99">
        <v>2</v>
      </c>
      <c r="S28" s="100">
        <f t="shared" si="1"/>
        <v>2</v>
      </c>
      <c r="T28" s="99">
        <v>0</v>
      </c>
      <c r="U28" s="99">
        <v>2</v>
      </c>
      <c r="V28" s="100">
        <f t="shared" si="2"/>
        <v>2</v>
      </c>
      <c r="Y28" s="22">
        <f t="shared" si="7"/>
        <v>18</v>
      </c>
      <c r="Z28" s="22">
        <f t="shared" si="8"/>
        <v>75</v>
      </c>
    </row>
    <row r="29" spans="1:26" ht="22.8" x14ac:dyDescent="0.4">
      <c r="A29" s="96">
        <v>24</v>
      </c>
      <c r="B29" s="97" t="s">
        <v>82</v>
      </c>
      <c r="C29" s="98" t="s">
        <v>83</v>
      </c>
      <c r="D29" s="99">
        <v>2</v>
      </c>
      <c r="E29" s="99">
        <v>2</v>
      </c>
      <c r="F29" s="93">
        <f t="shared" si="3"/>
        <v>4</v>
      </c>
      <c r="G29" s="99">
        <v>2</v>
      </c>
      <c r="H29" s="99">
        <v>2</v>
      </c>
      <c r="I29" s="93">
        <f t="shared" si="4"/>
        <v>4</v>
      </c>
      <c r="J29" s="99">
        <v>2</v>
      </c>
      <c r="K29" s="99">
        <v>0</v>
      </c>
      <c r="L29" s="93">
        <f t="shared" si="5"/>
        <v>2</v>
      </c>
      <c r="M29" s="99">
        <v>2</v>
      </c>
      <c r="N29" s="95">
        <f t="shared" si="6"/>
        <v>2</v>
      </c>
      <c r="O29" s="99">
        <v>0</v>
      </c>
      <c r="P29" s="99">
        <v>0</v>
      </c>
      <c r="Q29" s="100">
        <f t="shared" si="0"/>
        <v>0</v>
      </c>
      <c r="R29" s="99">
        <v>2</v>
      </c>
      <c r="S29" s="100">
        <f t="shared" si="1"/>
        <v>2</v>
      </c>
      <c r="T29" s="99">
        <v>2</v>
      </c>
      <c r="U29" s="99">
        <v>2</v>
      </c>
      <c r="V29" s="100">
        <f t="shared" si="2"/>
        <v>4</v>
      </c>
      <c r="Y29" s="22">
        <f t="shared" si="7"/>
        <v>18</v>
      </c>
      <c r="Z29" s="22">
        <f t="shared" si="8"/>
        <v>75</v>
      </c>
    </row>
    <row r="30" spans="1:26" ht="22.8" x14ac:dyDescent="0.4">
      <c r="A30" s="96">
        <v>25</v>
      </c>
      <c r="B30" s="97" t="s">
        <v>84</v>
      </c>
      <c r="C30" s="98" t="s">
        <v>85</v>
      </c>
      <c r="D30" s="99">
        <v>2</v>
      </c>
      <c r="E30" s="99">
        <v>2</v>
      </c>
      <c r="F30" s="93">
        <f t="shared" si="3"/>
        <v>4</v>
      </c>
      <c r="G30" s="99">
        <v>2</v>
      </c>
      <c r="H30" s="99">
        <v>2</v>
      </c>
      <c r="I30" s="93">
        <f t="shared" si="4"/>
        <v>4</v>
      </c>
      <c r="J30" s="99">
        <v>0</v>
      </c>
      <c r="K30" s="99">
        <v>2</v>
      </c>
      <c r="L30" s="93">
        <f t="shared" si="5"/>
        <v>2</v>
      </c>
      <c r="M30" s="99">
        <v>2</v>
      </c>
      <c r="N30" s="95">
        <f t="shared" si="6"/>
        <v>2</v>
      </c>
      <c r="O30" s="99">
        <v>2</v>
      </c>
      <c r="P30" s="99">
        <v>2</v>
      </c>
      <c r="Q30" s="100">
        <f t="shared" si="0"/>
        <v>4</v>
      </c>
      <c r="R30" s="99">
        <v>2</v>
      </c>
      <c r="S30" s="100">
        <f t="shared" si="1"/>
        <v>2</v>
      </c>
      <c r="T30" s="99">
        <v>2</v>
      </c>
      <c r="U30" s="99">
        <v>2</v>
      </c>
      <c r="V30" s="100">
        <f t="shared" si="2"/>
        <v>4</v>
      </c>
      <c r="Y30" s="22">
        <f t="shared" si="7"/>
        <v>22</v>
      </c>
      <c r="Z30" s="22">
        <f t="shared" si="8"/>
        <v>91.666666666666657</v>
      </c>
    </row>
    <row r="31" spans="1:26" ht="22.8" x14ac:dyDescent="0.4">
      <c r="A31" s="96">
        <v>26</v>
      </c>
      <c r="B31" s="97" t="s">
        <v>86</v>
      </c>
      <c r="C31" s="98" t="s">
        <v>87</v>
      </c>
      <c r="D31" s="99">
        <v>2</v>
      </c>
      <c r="E31" s="99">
        <v>2</v>
      </c>
      <c r="F31" s="93">
        <f t="shared" si="3"/>
        <v>4</v>
      </c>
      <c r="G31" s="99">
        <v>2</v>
      </c>
      <c r="H31" s="99">
        <v>0</v>
      </c>
      <c r="I31" s="93">
        <f t="shared" si="4"/>
        <v>2</v>
      </c>
      <c r="J31" s="99">
        <v>2</v>
      </c>
      <c r="K31" s="99">
        <v>2</v>
      </c>
      <c r="L31" s="93">
        <f t="shared" si="5"/>
        <v>4</v>
      </c>
      <c r="M31" s="99">
        <v>2</v>
      </c>
      <c r="N31" s="95">
        <f t="shared" si="6"/>
        <v>2</v>
      </c>
      <c r="O31" s="99">
        <v>0</v>
      </c>
      <c r="P31" s="99">
        <v>0</v>
      </c>
      <c r="Q31" s="100">
        <f t="shared" si="0"/>
        <v>0</v>
      </c>
      <c r="R31" s="99">
        <v>2</v>
      </c>
      <c r="S31" s="100">
        <f t="shared" si="1"/>
        <v>2</v>
      </c>
      <c r="T31" s="99">
        <v>2</v>
      </c>
      <c r="U31" s="99">
        <v>2</v>
      </c>
      <c r="V31" s="100">
        <f t="shared" si="2"/>
        <v>4</v>
      </c>
      <c r="Y31" s="22">
        <f t="shared" si="7"/>
        <v>18</v>
      </c>
      <c r="Z31" s="22">
        <f t="shared" si="8"/>
        <v>75</v>
      </c>
    </row>
    <row r="32" spans="1:26" ht="22.8" x14ac:dyDescent="0.4">
      <c r="A32" s="96">
        <v>27</v>
      </c>
      <c r="B32" s="97" t="s">
        <v>88</v>
      </c>
      <c r="C32" s="98" t="s">
        <v>89</v>
      </c>
      <c r="D32" s="99">
        <v>2</v>
      </c>
      <c r="E32" s="99">
        <v>2</v>
      </c>
      <c r="F32" s="93">
        <f t="shared" si="3"/>
        <v>4</v>
      </c>
      <c r="G32" s="99">
        <v>0</v>
      </c>
      <c r="H32" s="99">
        <v>2</v>
      </c>
      <c r="I32" s="93">
        <f t="shared" si="4"/>
        <v>2</v>
      </c>
      <c r="J32" s="99">
        <v>2</v>
      </c>
      <c r="K32" s="99">
        <v>2</v>
      </c>
      <c r="L32" s="93">
        <f t="shared" si="5"/>
        <v>4</v>
      </c>
      <c r="M32" s="99">
        <v>2</v>
      </c>
      <c r="N32" s="95">
        <f t="shared" si="6"/>
        <v>2</v>
      </c>
      <c r="O32" s="99">
        <v>2</v>
      </c>
      <c r="P32" s="99">
        <v>2</v>
      </c>
      <c r="Q32" s="100">
        <f t="shared" si="0"/>
        <v>4</v>
      </c>
      <c r="R32" s="99">
        <v>2</v>
      </c>
      <c r="S32" s="100">
        <f t="shared" si="1"/>
        <v>2</v>
      </c>
      <c r="T32" s="99">
        <v>2</v>
      </c>
      <c r="U32" s="99">
        <v>2</v>
      </c>
      <c r="V32" s="100">
        <f t="shared" si="2"/>
        <v>4</v>
      </c>
      <c r="Y32" s="22">
        <f t="shared" si="7"/>
        <v>22</v>
      </c>
      <c r="Z32" s="22">
        <f t="shared" si="8"/>
        <v>91.666666666666657</v>
      </c>
    </row>
    <row r="33" spans="1:26" ht="22.8" x14ac:dyDescent="0.4">
      <c r="A33" s="96">
        <v>28</v>
      </c>
      <c r="B33" s="97" t="s">
        <v>90</v>
      </c>
      <c r="C33" s="98" t="s">
        <v>91</v>
      </c>
      <c r="D33" s="99">
        <v>2</v>
      </c>
      <c r="E33" s="99">
        <v>0</v>
      </c>
      <c r="F33" s="93">
        <f t="shared" si="3"/>
        <v>2</v>
      </c>
      <c r="G33" s="99">
        <v>2</v>
      </c>
      <c r="H33" s="99">
        <v>2</v>
      </c>
      <c r="I33" s="93">
        <f t="shared" si="4"/>
        <v>4</v>
      </c>
      <c r="J33" s="99">
        <v>2</v>
      </c>
      <c r="K33" s="99">
        <v>2</v>
      </c>
      <c r="L33" s="93">
        <f t="shared" si="5"/>
        <v>4</v>
      </c>
      <c r="M33" s="99">
        <v>2</v>
      </c>
      <c r="N33" s="95">
        <f t="shared" si="6"/>
        <v>2</v>
      </c>
      <c r="O33" s="99">
        <v>2</v>
      </c>
      <c r="P33" s="99">
        <v>2</v>
      </c>
      <c r="Q33" s="100">
        <f t="shared" si="0"/>
        <v>4</v>
      </c>
      <c r="R33" s="99">
        <v>2</v>
      </c>
      <c r="S33" s="100">
        <f t="shared" si="1"/>
        <v>2</v>
      </c>
      <c r="T33" s="99">
        <v>2</v>
      </c>
      <c r="U33" s="99">
        <v>2</v>
      </c>
      <c r="V33" s="100">
        <f t="shared" si="2"/>
        <v>4</v>
      </c>
      <c r="Y33" s="22">
        <f t="shared" si="7"/>
        <v>22</v>
      </c>
      <c r="Z33" s="22">
        <f t="shared" si="8"/>
        <v>91.666666666666657</v>
      </c>
    </row>
    <row r="34" spans="1:26" ht="22.8" x14ac:dyDescent="0.4">
      <c r="A34" s="96">
        <v>29</v>
      </c>
      <c r="B34" s="97" t="s">
        <v>92</v>
      </c>
      <c r="C34" s="98" t="s">
        <v>93</v>
      </c>
      <c r="D34" s="99">
        <v>0</v>
      </c>
      <c r="E34" s="99">
        <v>2</v>
      </c>
      <c r="F34" s="93">
        <f t="shared" si="3"/>
        <v>2</v>
      </c>
      <c r="G34" s="99">
        <v>2</v>
      </c>
      <c r="H34" s="99">
        <v>2</v>
      </c>
      <c r="I34" s="93">
        <f t="shared" si="4"/>
        <v>4</v>
      </c>
      <c r="J34" s="99">
        <v>2</v>
      </c>
      <c r="K34" s="99">
        <v>2</v>
      </c>
      <c r="L34" s="93">
        <f t="shared" si="5"/>
        <v>4</v>
      </c>
      <c r="M34" s="99">
        <v>2</v>
      </c>
      <c r="N34" s="95">
        <f t="shared" si="6"/>
        <v>2</v>
      </c>
      <c r="O34" s="99">
        <v>0</v>
      </c>
      <c r="P34" s="99">
        <v>0</v>
      </c>
      <c r="Q34" s="100">
        <f t="shared" si="0"/>
        <v>0</v>
      </c>
      <c r="R34" s="99">
        <v>2</v>
      </c>
      <c r="S34" s="100">
        <f t="shared" si="1"/>
        <v>2</v>
      </c>
      <c r="T34" s="99">
        <v>2</v>
      </c>
      <c r="U34" s="99">
        <v>2</v>
      </c>
      <c r="V34" s="100">
        <f t="shared" si="2"/>
        <v>4</v>
      </c>
      <c r="Y34" s="22">
        <f t="shared" si="7"/>
        <v>18</v>
      </c>
      <c r="Z34" s="22">
        <f t="shared" si="8"/>
        <v>75</v>
      </c>
    </row>
    <row r="35" spans="1:26" ht="22.8" x14ac:dyDescent="0.4">
      <c r="A35" s="96">
        <v>30</v>
      </c>
      <c r="B35" s="97" t="s">
        <v>94</v>
      </c>
      <c r="C35" s="98" t="s">
        <v>95</v>
      </c>
      <c r="D35" s="99">
        <v>2</v>
      </c>
      <c r="E35" s="99">
        <v>2</v>
      </c>
      <c r="F35" s="93">
        <f t="shared" si="3"/>
        <v>4</v>
      </c>
      <c r="G35" s="99">
        <v>0</v>
      </c>
      <c r="H35" s="99">
        <v>2</v>
      </c>
      <c r="I35" s="93">
        <f t="shared" si="4"/>
        <v>2</v>
      </c>
      <c r="J35" s="99">
        <v>2</v>
      </c>
      <c r="K35" s="99">
        <v>2</v>
      </c>
      <c r="L35" s="93">
        <f t="shared" si="5"/>
        <v>4</v>
      </c>
      <c r="M35" s="99">
        <v>2</v>
      </c>
      <c r="N35" s="95">
        <f t="shared" si="6"/>
        <v>2</v>
      </c>
      <c r="O35" s="99">
        <v>0</v>
      </c>
      <c r="P35" s="99">
        <v>2</v>
      </c>
      <c r="Q35" s="100">
        <f t="shared" si="0"/>
        <v>2</v>
      </c>
      <c r="R35" s="99">
        <v>2</v>
      </c>
      <c r="S35" s="100">
        <f t="shared" si="1"/>
        <v>2</v>
      </c>
      <c r="T35" s="99">
        <v>2</v>
      </c>
      <c r="U35" s="99">
        <v>2</v>
      </c>
      <c r="V35" s="100">
        <f t="shared" si="2"/>
        <v>4</v>
      </c>
      <c r="Y35" s="22">
        <f t="shared" si="7"/>
        <v>20</v>
      </c>
      <c r="Z35" s="22">
        <f t="shared" si="8"/>
        <v>83.333333333333343</v>
      </c>
    </row>
    <row r="36" spans="1:26" ht="22.8" x14ac:dyDescent="0.4">
      <c r="A36" s="96">
        <v>31</v>
      </c>
      <c r="B36" s="97" t="s">
        <v>96</v>
      </c>
      <c r="C36" s="98" t="s">
        <v>97</v>
      </c>
      <c r="D36" s="99">
        <v>2</v>
      </c>
      <c r="E36" s="99">
        <v>2</v>
      </c>
      <c r="F36" s="93">
        <f t="shared" si="3"/>
        <v>4</v>
      </c>
      <c r="G36" s="99">
        <v>2</v>
      </c>
      <c r="H36" s="99">
        <v>2</v>
      </c>
      <c r="I36" s="93">
        <f t="shared" si="4"/>
        <v>4</v>
      </c>
      <c r="J36" s="99">
        <v>2</v>
      </c>
      <c r="K36" s="99">
        <v>2</v>
      </c>
      <c r="L36" s="93">
        <f t="shared" si="5"/>
        <v>4</v>
      </c>
      <c r="M36" s="99">
        <v>2</v>
      </c>
      <c r="N36" s="95">
        <f t="shared" si="6"/>
        <v>2</v>
      </c>
      <c r="O36" s="99">
        <v>0</v>
      </c>
      <c r="P36" s="99">
        <v>0</v>
      </c>
      <c r="Q36" s="100">
        <f t="shared" si="0"/>
        <v>0</v>
      </c>
      <c r="R36" s="99">
        <v>2</v>
      </c>
      <c r="S36" s="100">
        <f t="shared" si="1"/>
        <v>2</v>
      </c>
      <c r="T36" s="99">
        <v>2</v>
      </c>
      <c r="U36" s="99">
        <v>2</v>
      </c>
      <c r="V36" s="100">
        <f t="shared" si="2"/>
        <v>4</v>
      </c>
      <c r="Y36" s="22">
        <f t="shared" si="7"/>
        <v>20</v>
      </c>
      <c r="Z36" s="22">
        <f t="shared" si="8"/>
        <v>83.333333333333343</v>
      </c>
    </row>
    <row r="37" spans="1:26" ht="22.8" x14ac:dyDescent="0.4">
      <c r="A37" s="96">
        <v>32</v>
      </c>
      <c r="B37" s="97" t="s">
        <v>98</v>
      </c>
      <c r="C37" s="98" t="s">
        <v>99</v>
      </c>
      <c r="D37" s="99">
        <v>2</v>
      </c>
      <c r="E37" s="99">
        <v>0</v>
      </c>
      <c r="F37" s="93">
        <f t="shared" si="3"/>
        <v>2</v>
      </c>
      <c r="G37" s="99">
        <v>2</v>
      </c>
      <c r="H37" s="99">
        <v>2</v>
      </c>
      <c r="I37" s="93">
        <f t="shared" si="4"/>
        <v>4</v>
      </c>
      <c r="J37" s="99">
        <v>2</v>
      </c>
      <c r="K37" s="99">
        <v>2</v>
      </c>
      <c r="L37" s="93">
        <f t="shared" si="5"/>
        <v>4</v>
      </c>
      <c r="M37" s="99">
        <v>2</v>
      </c>
      <c r="N37" s="95">
        <f t="shared" si="6"/>
        <v>2</v>
      </c>
      <c r="O37" s="99">
        <v>2</v>
      </c>
      <c r="P37" s="99">
        <v>2</v>
      </c>
      <c r="Q37" s="100">
        <f t="shared" ref="Q37:Q68" si="9">SUM(O37:P37)</f>
        <v>4</v>
      </c>
      <c r="R37" s="99">
        <v>2</v>
      </c>
      <c r="S37" s="100">
        <f t="shared" ref="S37:S68" si="10">SUM(R37:R37)</f>
        <v>2</v>
      </c>
      <c r="T37" s="99">
        <v>2</v>
      </c>
      <c r="U37" s="99">
        <v>2</v>
      </c>
      <c r="V37" s="100">
        <f t="shared" ref="V37:V68" si="11">SUM(T37:U37)</f>
        <v>4</v>
      </c>
      <c r="Y37" s="22">
        <f t="shared" si="7"/>
        <v>22</v>
      </c>
      <c r="Z37" s="22">
        <f t="shared" si="8"/>
        <v>91.666666666666657</v>
      </c>
    </row>
    <row r="38" spans="1:26" ht="22.8" x14ac:dyDescent="0.4">
      <c r="A38" s="96">
        <v>33</v>
      </c>
      <c r="B38" s="97" t="s">
        <v>100</v>
      </c>
      <c r="C38" s="98" t="s">
        <v>101</v>
      </c>
      <c r="D38" s="99">
        <v>2</v>
      </c>
      <c r="E38" s="99">
        <v>2</v>
      </c>
      <c r="F38" s="93">
        <f t="shared" si="3"/>
        <v>4</v>
      </c>
      <c r="G38" s="99">
        <v>0</v>
      </c>
      <c r="H38" s="99">
        <v>2</v>
      </c>
      <c r="I38" s="93">
        <f t="shared" si="4"/>
        <v>2</v>
      </c>
      <c r="J38" s="99">
        <v>2</v>
      </c>
      <c r="K38" s="99">
        <v>2</v>
      </c>
      <c r="L38" s="93">
        <f t="shared" si="5"/>
        <v>4</v>
      </c>
      <c r="M38" s="99">
        <v>2</v>
      </c>
      <c r="N38" s="95">
        <f t="shared" si="6"/>
        <v>2</v>
      </c>
      <c r="O38" s="99">
        <v>2</v>
      </c>
      <c r="P38" s="99">
        <v>2</v>
      </c>
      <c r="Q38" s="100">
        <f t="shared" si="9"/>
        <v>4</v>
      </c>
      <c r="R38" s="99">
        <v>2</v>
      </c>
      <c r="S38" s="100">
        <f t="shared" si="10"/>
        <v>2</v>
      </c>
      <c r="T38" s="99">
        <v>2</v>
      </c>
      <c r="U38" s="99">
        <v>2</v>
      </c>
      <c r="V38" s="100">
        <f t="shared" si="11"/>
        <v>4</v>
      </c>
      <c r="Y38" s="22">
        <f t="shared" si="7"/>
        <v>22</v>
      </c>
      <c r="Z38" s="22">
        <f t="shared" si="8"/>
        <v>91.666666666666657</v>
      </c>
    </row>
    <row r="39" spans="1:26" ht="22.8" x14ac:dyDescent="0.4">
      <c r="A39" s="96">
        <v>34</v>
      </c>
      <c r="B39" s="97" t="s">
        <v>102</v>
      </c>
      <c r="C39" s="98" t="s">
        <v>103</v>
      </c>
      <c r="D39" s="99">
        <v>2</v>
      </c>
      <c r="E39" s="99">
        <v>2</v>
      </c>
      <c r="F39" s="93">
        <f t="shared" si="3"/>
        <v>4</v>
      </c>
      <c r="G39" s="99">
        <v>2</v>
      </c>
      <c r="H39" s="99">
        <v>0</v>
      </c>
      <c r="I39" s="93">
        <f t="shared" si="4"/>
        <v>2</v>
      </c>
      <c r="J39" s="99">
        <v>2</v>
      </c>
      <c r="K39" s="99">
        <v>2</v>
      </c>
      <c r="L39" s="93">
        <f t="shared" si="5"/>
        <v>4</v>
      </c>
      <c r="M39" s="99">
        <v>2</v>
      </c>
      <c r="N39" s="95">
        <f t="shared" si="6"/>
        <v>2</v>
      </c>
      <c r="O39" s="99">
        <v>2</v>
      </c>
      <c r="P39" s="99">
        <v>2</v>
      </c>
      <c r="Q39" s="100">
        <f t="shared" si="9"/>
        <v>4</v>
      </c>
      <c r="R39" s="99">
        <v>2</v>
      </c>
      <c r="S39" s="100">
        <f t="shared" si="10"/>
        <v>2</v>
      </c>
      <c r="T39" s="99">
        <v>2</v>
      </c>
      <c r="U39" s="99">
        <v>2</v>
      </c>
      <c r="V39" s="100">
        <f t="shared" si="11"/>
        <v>4</v>
      </c>
      <c r="Y39" s="22">
        <f t="shared" si="7"/>
        <v>22</v>
      </c>
      <c r="Z39" s="22">
        <f t="shared" si="8"/>
        <v>91.666666666666657</v>
      </c>
    </row>
    <row r="40" spans="1:26" ht="22.8" x14ac:dyDescent="0.4">
      <c r="A40" s="96">
        <v>35</v>
      </c>
      <c r="B40" s="97" t="s">
        <v>104</v>
      </c>
      <c r="C40" s="98" t="s">
        <v>105</v>
      </c>
      <c r="D40" s="99">
        <v>2</v>
      </c>
      <c r="E40" s="99">
        <v>2</v>
      </c>
      <c r="F40" s="93">
        <f t="shared" si="3"/>
        <v>4</v>
      </c>
      <c r="G40" s="99">
        <v>2</v>
      </c>
      <c r="H40" s="99">
        <v>2</v>
      </c>
      <c r="I40" s="93">
        <f t="shared" si="4"/>
        <v>4</v>
      </c>
      <c r="J40" s="99">
        <v>0</v>
      </c>
      <c r="K40" s="99">
        <v>2</v>
      </c>
      <c r="L40" s="93">
        <f t="shared" si="5"/>
        <v>2</v>
      </c>
      <c r="M40" s="99">
        <v>2</v>
      </c>
      <c r="N40" s="95">
        <f t="shared" si="6"/>
        <v>2</v>
      </c>
      <c r="O40" s="99">
        <v>2</v>
      </c>
      <c r="P40" s="99">
        <v>2</v>
      </c>
      <c r="Q40" s="100">
        <f t="shared" si="9"/>
        <v>4</v>
      </c>
      <c r="R40" s="99">
        <v>2</v>
      </c>
      <c r="S40" s="100">
        <f t="shared" si="10"/>
        <v>2</v>
      </c>
      <c r="T40" s="99">
        <v>2</v>
      </c>
      <c r="U40" s="99">
        <v>2</v>
      </c>
      <c r="V40" s="100">
        <f t="shared" si="11"/>
        <v>4</v>
      </c>
      <c r="Y40" s="22">
        <f t="shared" si="7"/>
        <v>22</v>
      </c>
      <c r="Z40" s="22">
        <f t="shared" si="8"/>
        <v>91.666666666666657</v>
      </c>
    </row>
    <row r="41" spans="1:26" ht="22.8" x14ac:dyDescent="0.4">
      <c r="A41" s="96">
        <v>36</v>
      </c>
      <c r="B41" s="97" t="s">
        <v>106</v>
      </c>
      <c r="C41" s="98" t="s">
        <v>107</v>
      </c>
      <c r="D41" s="99">
        <v>2</v>
      </c>
      <c r="E41" s="99">
        <v>2</v>
      </c>
      <c r="F41" s="93">
        <f t="shared" si="3"/>
        <v>4</v>
      </c>
      <c r="G41" s="99">
        <v>2</v>
      </c>
      <c r="H41" s="99">
        <v>2</v>
      </c>
      <c r="I41" s="93">
        <f t="shared" si="4"/>
        <v>4</v>
      </c>
      <c r="J41" s="99">
        <v>2</v>
      </c>
      <c r="K41" s="99">
        <v>0</v>
      </c>
      <c r="L41" s="93">
        <f t="shared" si="5"/>
        <v>2</v>
      </c>
      <c r="M41" s="99">
        <v>2</v>
      </c>
      <c r="N41" s="95">
        <f t="shared" si="6"/>
        <v>2</v>
      </c>
      <c r="O41" s="99">
        <v>0</v>
      </c>
      <c r="P41" s="99">
        <v>0</v>
      </c>
      <c r="Q41" s="100">
        <f t="shared" si="9"/>
        <v>0</v>
      </c>
      <c r="R41" s="99">
        <v>2</v>
      </c>
      <c r="S41" s="100">
        <f t="shared" si="10"/>
        <v>2</v>
      </c>
      <c r="T41" s="99">
        <v>2</v>
      </c>
      <c r="U41" s="99">
        <v>2</v>
      </c>
      <c r="V41" s="100">
        <f t="shared" si="11"/>
        <v>4</v>
      </c>
      <c r="Y41" s="22">
        <f t="shared" si="7"/>
        <v>18</v>
      </c>
      <c r="Z41" s="22">
        <f t="shared" si="8"/>
        <v>75</v>
      </c>
    </row>
    <row r="42" spans="1:26" ht="22.8" x14ac:dyDescent="0.4">
      <c r="A42" s="96">
        <v>37</v>
      </c>
      <c r="B42" s="97" t="s">
        <v>108</v>
      </c>
      <c r="C42" s="98" t="s">
        <v>109</v>
      </c>
      <c r="D42" s="99">
        <v>2</v>
      </c>
      <c r="E42" s="99">
        <v>2</v>
      </c>
      <c r="F42" s="93">
        <f t="shared" si="3"/>
        <v>4</v>
      </c>
      <c r="G42" s="99">
        <v>2</v>
      </c>
      <c r="H42" s="99">
        <v>2</v>
      </c>
      <c r="I42" s="93">
        <f t="shared" si="4"/>
        <v>4</v>
      </c>
      <c r="J42" s="99">
        <v>2</v>
      </c>
      <c r="K42" s="99">
        <v>2</v>
      </c>
      <c r="L42" s="93">
        <f t="shared" si="5"/>
        <v>4</v>
      </c>
      <c r="M42" s="99">
        <v>0</v>
      </c>
      <c r="N42" s="95">
        <f t="shared" si="6"/>
        <v>0</v>
      </c>
      <c r="O42" s="99">
        <v>2</v>
      </c>
      <c r="P42" s="99">
        <v>2</v>
      </c>
      <c r="Q42" s="100">
        <f t="shared" si="9"/>
        <v>4</v>
      </c>
      <c r="R42" s="99">
        <v>2</v>
      </c>
      <c r="S42" s="100">
        <f t="shared" si="10"/>
        <v>2</v>
      </c>
      <c r="T42" s="99">
        <v>2</v>
      </c>
      <c r="U42" s="99">
        <v>2</v>
      </c>
      <c r="V42" s="100">
        <f t="shared" si="11"/>
        <v>4</v>
      </c>
      <c r="Y42" s="22">
        <f t="shared" si="7"/>
        <v>22</v>
      </c>
      <c r="Z42" s="22">
        <f t="shared" si="8"/>
        <v>91.666666666666657</v>
      </c>
    </row>
    <row r="43" spans="1:26" ht="22.8" x14ac:dyDescent="0.4">
      <c r="A43" s="96">
        <v>38</v>
      </c>
      <c r="B43" s="97" t="s">
        <v>110</v>
      </c>
      <c r="C43" s="98" t="s">
        <v>111</v>
      </c>
      <c r="D43" s="99">
        <v>2</v>
      </c>
      <c r="E43" s="99">
        <v>2</v>
      </c>
      <c r="F43" s="93">
        <f t="shared" si="3"/>
        <v>4</v>
      </c>
      <c r="G43" s="99">
        <v>2</v>
      </c>
      <c r="H43" s="99">
        <v>2</v>
      </c>
      <c r="I43" s="93">
        <f t="shared" si="4"/>
        <v>4</v>
      </c>
      <c r="J43" s="99">
        <v>2</v>
      </c>
      <c r="K43" s="99">
        <v>2</v>
      </c>
      <c r="L43" s="93">
        <f t="shared" si="5"/>
        <v>4</v>
      </c>
      <c r="M43" s="99">
        <v>2</v>
      </c>
      <c r="N43" s="95">
        <f t="shared" si="6"/>
        <v>2</v>
      </c>
      <c r="O43" s="99">
        <v>0</v>
      </c>
      <c r="P43" s="99">
        <v>0</v>
      </c>
      <c r="Q43" s="100">
        <f t="shared" si="9"/>
        <v>0</v>
      </c>
      <c r="R43" s="99">
        <v>2</v>
      </c>
      <c r="S43" s="100">
        <f t="shared" si="10"/>
        <v>2</v>
      </c>
      <c r="T43" s="99">
        <v>2</v>
      </c>
      <c r="U43" s="99">
        <v>2</v>
      </c>
      <c r="V43" s="100">
        <f t="shared" si="11"/>
        <v>4</v>
      </c>
      <c r="Y43" s="22">
        <f t="shared" si="7"/>
        <v>20</v>
      </c>
      <c r="Z43" s="22">
        <f t="shared" si="8"/>
        <v>83.333333333333343</v>
      </c>
    </row>
    <row r="44" spans="1:26" ht="22.8" x14ac:dyDescent="0.4">
      <c r="A44" s="96">
        <v>39</v>
      </c>
      <c r="B44" s="97" t="s">
        <v>112</v>
      </c>
      <c r="C44" s="98" t="s">
        <v>113</v>
      </c>
      <c r="D44" s="99">
        <v>2</v>
      </c>
      <c r="E44" s="99">
        <v>2</v>
      </c>
      <c r="F44" s="93">
        <f t="shared" si="3"/>
        <v>4</v>
      </c>
      <c r="G44" s="99">
        <v>2</v>
      </c>
      <c r="H44" s="99">
        <v>2</v>
      </c>
      <c r="I44" s="93">
        <f t="shared" si="4"/>
        <v>4</v>
      </c>
      <c r="J44" s="99">
        <v>2</v>
      </c>
      <c r="K44" s="99">
        <v>2</v>
      </c>
      <c r="L44" s="93">
        <f t="shared" si="5"/>
        <v>4</v>
      </c>
      <c r="M44" s="99">
        <v>2</v>
      </c>
      <c r="N44" s="95">
        <f t="shared" si="6"/>
        <v>2</v>
      </c>
      <c r="O44" s="99">
        <v>0</v>
      </c>
      <c r="P44" s="99">
        <v>2</v>
      </c>
      <c r="Q44" s="100">
        <f t="shared" si="9"/>
        <v>2</v>
      </c>
      <c r="R44" s="99">
        <v>2</v>
      </c>
      <c r="S44" s="100">
        <f t="shared" si="10"/>
        <v>2</v>
      </c>
      <c r="T44" s="99">
        <v>2</v>
      </c>
      <c r="U44" s="99">
        <v>2</v>
      </c>
      <c r="V44" s="100">
        <f t="shared" si="11"/>
        <v>4</v>
      </c>
      <c r="Y44" s="22">
        <f t="shared" si="7"/>
        <v>22</v>
      </c>
      <c r="Z44" s="22">
        <f t="shared" si="8"/>
        <v>91.666666666666657</v>
      </c>
    </row>
    <row r="45" spans="1:26" ht="22.8" x14ac:dyDescent="0.4">
      <c r="A45" s="96">
        <v>40</v>
      </c>
      <c r="B45" s="97" t="s">
        <v>114</v>
      </c>
      <c r="C45" s="98" t="s">
        <v>115</v>
      </c>
      <c r="D45" s="99">
        <v>2</v>
      </c>
      <c r="E45" s="99">
        <v>2</v>
      </c>
      <c r="F45" s="93">
        <f t="shared" si="3"/>
        <v>4</v>
      </c>
      <c r="G45" s="99">
        <v>2</v>
      </c>
      <c r="H45" s="99">
        <v>2</v>
      </c>
      <c r="I45" s="93">
        <f t="shared" si="4"/>
        <v>4</v>
      </c>
      <c r="J45" s="99">
        <v>2</v>
      </c>
      <c r="K45" s="99">
        <v>2</v>
      </c>
      <c r="L45" s="93">
        <f t="shared" si="5"/>
        <v>4</v>
      </c>
      <c r="M45" s="99">
        <v>0</v>
      </c>
      <c r="N45" s="95">
        <f t="shared" si="6"/>
        <v>0</v>
      </c>
      <c r="O45" s="99">
        <v>0</v>
      </c>
      <c r="P45" s="99">
        <v>0</v>
      </c>
      <c r="Q45" s="100">
        <f t="shared" si="9"/>
        <v>0</v>
      </c>
      <c r="R45" s="99">
        <v>2</v>
      </c>
      <c r="S45" s="100">
        <f t="shared" si="10"/>
        <v>2</v>
      </c>
      <c r="T45" s="99">
        <v>2</v>
      </c>
      <c r="U45" s="99">
        <v>2</v>
      </c>
      <c r="V45" s="100">
        <f t="shared" si="11"/>
        <v>4</v>
      </c>
      <c r="Y45" s="22">
        <f t="shared" si="7"/>
        <v>18</v>
      </c>
      <c r="Z45" s="22">
        <f t="shared" si="8"/>
        <v>75</v>
      </c>
    </row>
    <row r="46" spans="1:26" ht="22.8" x14ac:dyDescent="0.4">
      <c r="A46" s="96">
        <v>41</v>
      </c>
      <c r="B46" s="97" t="s">
        <v>116</v>
      </c>
      <c r="C46" s="98" t="s">
        <v>117</v>
      </c>
      <c r="D46" s="99">
        <v>2</v>
      </c>
      <c r="E46" s="99">
        <v>2</v>
      </c>
      <c r="F46" s="93">
        <f t="shared" si="3"/>
        <v>4</v>
      </c>
      <c r="G46" s="99">
        <v>2</v>
      </c>
      <c r="H46" s="99">
        <v>2</v>
      </c>
      <c r="I46" s="93">
        <f t="shared" si="4"/>
        <v>4</v>
      </c>
      <c r="J46" s="99">
        <v>2</v>
      </c>
      <c r="K46" s="99">
        <v>0</v>
      </c>
      <c r="L46" s="93">
        <f t="shared" si="5"/>
        <v>2</v>
      </c>
      <c r="M46" s="99">
        <v>2</v>
      </c>
      <c r="N46" s="95">
        <f t="shared" si="6"/>
        <v>2</v>
      </c>
      <c r="O46" s="99">
        <v>2</v>
      </c>
      <c r="P46" s="99">
        <v>2</v>
      </c>
      <c r="Q46" s="100">
        <f t="shared" si="9"/>
        <v>4</v>
      </c>
      <c r="R46" s="99">
        <v>2</v>
      </c>
      <c r="S46" s="100">
        <f t="shared" si="10"/>
        <v>2</v>
      </c>
      <c r="T46" s="99">
        <v>2</v>
      </c>
      <c r="U46" s="99">
        <v>2</v>
      </c>
      <c r="V46" s="100">
        <f t="shared" si="11"/>
        <v>4</v>
      </c>
      <c r="Y46" s="22">
        <f t="shared" si="7"/>
        <v>22</v>
      </c>
      <c r="Z46" s="22">
        <f t="shared" si="8"/>
        <v>91.666666666666657</v>
      </c>
    </row>
    <row r="47" spans="1:26" ht="22.8" x14ac:dyDescent="0.4">
      <c r="A47" s="96">
        <v>42</v>
      </c>
      <c r="B47" s="97" t="s">
        <v>118</v>
      </c>
      <c r="C47" s="98" t="s">
        <v>119</v>
      </c>
      <c r="D47" s="99">
        <v>2</v>
      </c>
      <c r="E47" s="99">
        <v>2</v>
      </c>
      <c r="F47" s="93">
        <f t="shared" si="3"/>
        <v>4</v>
      </c>
      <c r="G47" s="99">
        <v>2</v>
      </c>
      <c r="H47" s="99">
        <v>2</v>
      </c>
      <c r="I47" s="93">
        <f t="shared" si="4"/>
        <v>4</v>
      </c>
      <c r="J47" s="99">
        <v>0</v>
      </c>
      <c r="K47" s="99">
        <v>2</v>
      </c>
      <c r="L47" s="93">
        <f t="shared" si="5"/>
        <v>2</v>
      </c>
      <c r="M47" s="99">
        <v>2</v>
      </c>
      <c r="N47" s="95">
        <f t="shared" si="6"/>
        <v>2</v>
      </c>
      <c r="O47" s="99">
        <v>0</v>
      </c>
      <c r="P47" s="99">
        <v>0</v>
      </c>
      <c r="Q47" s="100">
        <f t="shared" si="9"/>
        <v>0</v>
      </c>
      <c r="R47" s="99">
        <v>2</v>
      </c>
      <c r="S47" s="100">
        <f t="shared" si="10"/>
        <v>2</v>
      </c>
      <c r="T47" s="99">
        <v>2</v>
      </c>
      <c r="U47" s="99">
        <v>2</v>
      </c>
      <c r="V47" s="100">
        <f t="shared" si="11"/>
        <v>4</v>
      </c>
      <c r="Y47" s="22">
        <f t="shared" si="7"/>
        <v>18</v>
      </c>
      <c r="Z47" s="22">
        <f t="shared" si="8"/>
        <v>75</v>
      </c>
    </row>
    <row r="48" spans="1:26" ht="22.8" x14ac:dyDescent="0.4">
      <c r="A48" s="96">
        <v>43</v>
      </c>
      <c r="B48" s="97" t="s">
        <v>120</v>
      </c>
      <c r="C48" s="98" t="s">
        <v>121</v>
      </c>
      <c r="D48" s="99">
        <v>2</v>
      </c>
      <c r="E48" s="99">
        <v>2</v>
      </c>
      <c r="F48" s="93">
        <f t="shared" si="3"/>
        <v>4</v>
      </c>
      <c r="G48" s="99">
        <v>2</v>
      </c>
      <c r="H48" s="99">
        <v>0</v>
      </c>
      <c r="I48" s="93">
        <f t="shared" si="4"/>
        <v>2</v>
      </c>
      <c r="J48" s="99">
        <v>2</v>
      </c>
      <c r="K48" s="99">
        <v>2</v>
      </c>
      <c r="L48" s="93">
        <f t="shared" si="5"/>
        <v>4</v>
      </c>
      <c r="M48" s="99">
        <v>2</v>
      </c>
      <c r="N48" s="95">
        <f t="shared" si="6"/>
        <v>2</v>
      </c>
      <c r="O48" s="99">
        <v>2</v>
      </c>
      <c r="P48" s="99">
        <v>2</v>
      </c>
      <c r="Q48" s="100">
        <f t="shared" si="9"/>
        <v>4</v>
      </c>
      <c r="R48" s="99">
        <v>2</v>
      </c>
      <c r="S48" s="100">
        <f t="shared" si="10"/>
        <v>2</v>
      </c>
      <c r="T48" s="99">
        <v>2</v>
      </c>
      <c r="U48" s="99">
        <v>2</v>
      </c>
      <c r="V48" s="100">
        <f t="shared" si="11"/>
        <v>4</v>
      </c>
      <c r="Y48" s="22">
        <f t="shared" si="7"/>
        <v>22</v>
      </c>
      <c r="Z48" s="22">
        <f t="shared" si="8"/>
        <v>91.666666666666657</v>
      </c>
    </row>
    <row r="49" spans="1:26" ht="22.8" x14ac:dyDescent="0.4">
      <c r="A49" s="96">
        <v>44</v>
      </c>
      <c r="B49" s="97" t="s">
        <v>122</v>
      </c>
      <c r="C49" s="98" t="s">
        <v>123</v>
      </c>
      <c r="D49" s="99">
        <v>2</v>
      </c>
      <c r="E49" s="99">
        <v>2</v>
      </c>
      <c r="F49" s="93">
        <f t="shared" si="3"/>
        <v>4</v>
      </c>
      <c r="G49" s="99">
        <v>0</v>
      </c>
      <c r="H49" s="99">
        <v>2</v>
      </c>
      <c r="I49" s="93">
        <f t="shared" si="4"/>
        <v>2</v>
      </c>
      <c r="J49" s="99">
        <v>2</v>
      </c>
      <c r="K49" s="99">
        <v>2</v>
      </c>
      <c r="L49" s="93">
        <f t="shared" si="5"/>
        <v>4</v>
      </c>
      <c r="M49" s="99">
        <v>2</v>
      </c>
      <c r="N49" s="95">
        <f t="shared" si="6"/>
        <v>2</v>
      </c>
      <c r="O49" s="99">
        <v>2</v>
      </c>
      <c r="P49" s="99">
        <v>2</v>
      </c>
      <c r="Q49" s="100">
        <f t="shared" si="9"/>
        <v>4</v>
      </c>
      <c r="R49" s="99">
        <v>2</v>
      </c>
      <c r="S49" s="100">
        <f t="shared" si="10"/>
        <v>2</v>
      </c>
      <c r="T49" s="99">
        <v>2</v>
      </c>
      <c r="U49" s="99">
        <v>2</v>
      </c>
      <c r="V49" s="100">
        <f t="shared" si="11"/>
        <v>4</v>
      </c>
      <c r="Y49" s="22">
        <f t="shared" si="7"/>
        <v>22</v>
      </c>
      <c r="Z49" s="22">
        <f t="shared" si="8"/>
        <v>91.666666666666657</v>
      </c>
    </row>
    <row r="50" spans="1:26" ht="22.8" x14ac:dyDescent="0.4">
      <c r="A50" s="96">
        <v>45</v>
      </c>
      <c r="B50" s="97" t="s">
        <v>124</v>
      </c>
      <c r="C50" s="98" t="s">
        <v>125</v>
      </c>
      <c r="D50" s="99">
        <v>2</v>
      </c>
      <c r="E50" s="99">
        <v>0</v>
      </c>
      <c r="F50" s="93">
        <f t="shared" si="3"/>
        <v>2</v>
      </c>
      <c r="G50" s="99">
        <v>2</v>
      </c>
      <c r="H50" s="99">
        <v>2</v>
      </c>
      <c r="I50" s="93">
        <f t="shared" si="4"/>
        <v>4</v>
      </c>
      <c r="J50" s="99">
        <v>2</v>
      </c>
      <c r="K50" s="99">
        <v>2</v>
      </c>
      <c r="L50" s="93">
        <f t="shared" si="5"/>
        <v>4</v>
      </c>
      <c r="M50" s="99">
        <v>2</v>
      </c>
      <c r="N50" s="95">
        <f t="shared" si="6"/>
        <v>2</v>
      </c>
      <c r="O50" s="99">
        <v>2</v>
      </c>
      <c r="P50" s="99">
        <v>2</v>
      </c>
      <c r="Q50" s="100">
        <f t="shared" si="9"/>
        <v>4</v>
      </c>
      <c r="R50" s="99">
        <v>2</v>
      </c>
      <c r="S50" s="100">
        <f t="shared" si="10"/>
        <v>2</v>
      </c>
      <c r="T50" s="99">
        <v>2</v>
      </c>
      <c r="U50" s="99">
        <v>2</v>
      </c>
      <c r="V50" s="100">
        <f t="shared" si="11"/>
        <v>4</v>
      </c>
      <c r="Y50" s="22">
        <f t="shared" si="7"/>
        <v>22</v>
      </c>
      <c r="Z50" s="22">
        <f t="shared" si="8"/>
        <v>91.666666666666657</v>
      </c>
    </row>
    <row r="51" spans="1:26" ht="22.8" x14ac:dyDescent="0.4">
      <c r="A51" s="96">
        <v>46</v>
      </c>
      <c r="B51" s="97" t="s">
        <v>126</v>
      </c>
      <c r="C51" s="98" t="s">
        <v>127</v>
      </c>
      <c r="D51" s="99">
        <v>0</v>
      </c>
      <c r="E51" s="99">
        <v>2</v>
      </c>
      <c r="F51" s="93">
        <f t="shared" si="3"/>
        <v>2</v>
      </c>
      <c r="G51" s="99">
        <v>2</v>
      </c>
      <c r="H51" s="99">
        <v>2</v>
      </c>
      <c r="I51" s="93">
        <f t="shared" si="4"/>
        <v>4</v>
      </c>
      <c r="J51" s="99">
        <v>2</v>
      </c>
      <c r="K51" s="99">
        <v>2</v>
      </c>
      <c r="L51" s="93">
        <f t="shared" si="5"/>
        <v>4</v>
      </c>
      <c r="M51" s="99">
        <v>2</v>
      </c>
      <c r="N51" s="95">
        <f t="shared" si="6"/>
        <v>2</v>
      </c>
      <c r="O51" s="99">
        <v>0</v>
      </c>
      <c r="P51" s="99">
        <v>0</v>
      </c>
      <c r="Q51" s="100">
        <f t="shared" si="9"/>
        <v>0</v>
      </c>
      <c r="R51" s="99">
        <v>2</v>
      </c>
      <c r="S51" s="100">
        <f t="shared" si="10"/>
        <v>2</v>
      </c>
      <c r="T51" s="99">
        <v>2</v>
      </c>
      <c r="U51" s="99">
        <v>2</v>
      </c>
      <c r="V51" s="100">
        <f t="shared" si="11"/>
        <v>4</v>
      </c>
      <c r="Y51" s="22">
        <f t="shared" si="7"/>
        <v>18</v>
      </c>
      <c r="Z51" s="22">
        <f t="shared" si="8"/>
        <v>75</v>
      </c>
    </row>
    <row r="52" spans="1:26" ht="22.8" x14ac:dyDescent="0.4">
      <c r="A52" s="96">
        <v>47</v>
      </c>
      <c r="B52" s="97" t="s">
        <v>128</v>
      </c>
      <c r="C52" s="98" t="s">
        <v>129</v>
      </c>
      <c r="D52" s="99">
        <v>2</v>
      </c>
      <c r="E52" s="99">
        <v>2</v>
      </c>
      <c r="F52" s="93">
        <f t="shared" si="3"/>
        <v>4</v>
      </c>
      <c r="G52" s="99">
        <v>2</v>
      </c>
      <c r="H52" s="99">
        <v>2</v>
      </c>
      <c r="I52" s="93">
        <f t="shared" si="4"/>
        <v>4</v>
      </c>
      <c r="J52" s="99">
        <v>2</v>
      </c>
      <c r="K52" s="99">
        <v>2</v>
      </c>
      <c r="L52" s="93">
        <f t="shared" si="5"/>
        <v>4</v>
      </c>
      <c r="M52" s="99">
        <v>2</v>
      </c>
      <c r="N52" s="95">
        <f t="shared" si="6"/>
        <v>2</v>
      </c>
      <c r="O52" s="99">
        <v>0</v>
      </c>
      <c r="P52" s="99">
        <v>0</v>
      </c>
      <c r="Q52" s="100">
        <f t="shared" si="9"/>
        <v>0</v>
      </c>
      <c r="R52" s="99">
        <v>2</v>
      </c>
      <c r="S52" s="100">
        <f t="shared" si="10"/>
        <v>2</v>
      </c>
      <c r="T52" s="99">
        <v>2</v>
      </c>
      <c r="U52" s="99">
        <v>2</v>
      </c>
      <c r="V52" s="100">
        <f t="shared" si="11"/>
        <v>4</v>
      </c>
      <c r="Y52" s="22">
        <f t="shared" si="7"/>
        <v>20</v>
      </c>
      <c r="Z52" s="22">
        <f t="shared" si="8"/>
        <v>83.333333333333343</v>
      </c>
    </row>
    <row r="53" spans="1:26" ht="22.8" x14ac:dyDescent="0.4">
      <c r="A53" s="96">
        <v>48</v>
      </c>
      <c r="B53" s="97" t="s">
        <v>130</v>
      </c>
      <c r="C53" s="98" t="s">
        <v>131</v>
      </c>
      <c r="D53" s="99">
        <v>2</v>
      </c>
      <c r="E53" s="99">
        <v>2</v>
      </c>
      <c r="F53" s="93">
        <f t="shared" si="3"/>
        <v>4</v>
      </c>
      <c r="G53" s="99">
        <v>0</v>
      </c>
      <c r="H53" s="99">
        <v>2</v>
      </c>
      <c r="I53" s="93">
        <f t="shared" si="4"/>
        <v>2</v>
      </c>
      <c r="J53" s="99">
        <v>2</v>
      </c>
      <c r="K53" s="99">
        <v>2</v>
      </c>
      <c r="L53" s="93">
        <f t="shared" si="5"/>
        <v>4</v>
      </c>
      <c r="M53" s="99">
        <v>2</v>
      </c>
      <c r="N53" s="95">
        <f t="shared" si="6"/>
        <v>2</v>
      </c>
      <c r="O53" s="99">
        <v>2</v>
      </c>
      <c r="P53" s="99">
        <v>2</v>
      </c>
      <c r="Q53" s="100">
        <f t="shared" si="9"/>
        <v>4</v>
      </c>
      <c r="R53" s="99">
        <v>0</v>
      </c>
      <c r="S53" s="100">
        <f t="shared" si="10"/>
        <v>0</v>
      </c>
      <c r="T53" s="99">
        <v>2</v>
      </c>
      <c r="U53" s="99">
        <v>2</v>
      </c>
      <c r="V53" s="100">
        <f t="shared" si="11"/>
        <v>4</v>
      </c>
      <c r="Y53" s="22">
        <f t="shared" si="7"/>
        <v>20</v>
      </c>
      <c r="Z53" s="22">
        <f t="shared" si="8"/>
        <v>83.333333333333343</v>
      </c>
    </row>
    <row r="54" spans="1:26" ht="22.8" x14ac:dyDescent="0.4">
      <c r="A54" s="96">
        <v>49</v>
      </c>
      <c r="B54" s="97" t="s">
        <v>132</v>
      </c>
      <c r="C54" s="98" t="s">
        <v>133</v>
      </c>
      <c r="D54" s="99">
        <v>2</v>
      </c>
      <c r="E54" s="99">
        <v>0</v>
      </c>
      <c r="F54" s="93">
        <f t="shared" si="3"/>
        <v>2</v>
      </c>
      <c r="G54" s="99">
        <v>2</v>
      </c>
      <c r="H54" s="99">
        <v>2</v>
      </c>
      <c r="I54" s="93">
        <f t="shared" si="4"/>
        <v>4</v>
      </c>
      <c r="J54" s="99">
        <v>2</v>
      </c>
      <c r="K54" s="99">
        <v>2</v>
      </c>
      <c r="L54" s="93">
        <f t="shared" si="5"/>
        <v>4</v>
      </c>
      <c r="M54" s="99">
        <v>2</v>
      </c>
      <c r="N54" s="95">
        <f t="shared" si="6"/>
        <v>2</v>
      </c>
      <c r="O54" s="99">
        <v>0</v>
      </c>
      <c r="P54" s="99">
        <v>0</v>
      </c>
      <c r="Q54" s="100">
        <f t="shared" si="9"/>
        <v>0</v>
      </c>
      <c r="R54" s="99">
        <v>2</v>
      </c>
      <c r="S54" s="100">
        <f t="shared" si="10"/>
        <v>2</v>
      </c>
      <c r="T54" s="99">
        <v>2</v>
      </c>
      <c r="U54" s="99">
        <v>2</v>
      </c>
      <c r="V54" s="100">
        <f t="shared" si="11"/>
        <v>4</v>
      </c>
      <c r="Y54" s="22">
        <f t="shared" si="7"/>
        <v>18</v>
      </c>
      <c r="Z54" s="22">
        <f t="shared" si="8"/>
        <v>75</v>
      </c>
    </row>
    <row r="55" spans="1:26" ht="22.8" x14ac:dyDescent="0.4">
      <c r="A55" s="96">
        <v>50</v>
      </c>
      <c r="B55" s="97" t="s">
        <v>134</v>
      </c>
      <c r="C55" s="98" t="s">
        <v>135</v>
      </c>
      <c r="D55" s="99">
        <v>2</v>
      </c>
      <c r="E55" s="99">
        <v>2</v>
      </c>
      <c r="F55" s="93">
        <f t="shared" si="3"/>
        <v>4</v>
      </c>
      <c r="G55" s="99">
        <v>0</v>
      </c>
      <c r="H55" s="99">
        <v>2</v>
      </c>
      <c r="I55" s="93">
        <f t="shared" si="4"/>
        <v>2</v>
      </c>
      <c r="J55" s="99">
        <v>2</v>
      </c>
      <c r="K55" s="99">
        <v>2</v>
      </c>
      <c r="L55" s="93">
        <f t="shared" si="5"/>
        <v>4</v>
      </c>
      <c r="M55" s="99">
        <v>2</v>
      </c>
      <c r="N55" s="95">
        <f t="shared" si="6"/>
        <v>2</v>
      </c>
      <c r="O55" s="99">
        <v>0</v>
      </c>
      <c r="P55" s="99">
        <v>0</v>
      </c>
      <c r="Q55" s="100">
        <f t="shared" si="9"/>
        <v>0</v>
      </c>
      <c r="R55" s="99">
        <v>2</v>
      </c>
      <c r="S55" s="100">
        <f t="shared" si="10"/>
        <v>2</v>
      </c>
      <c r="T55" s="99">
        <v>2</v>
      </c>
      <c r="U55" s="99">
        <v>2</v>
      </c>
      <c r="V55" s="100">
        <f t="shared" si="11"/>
        <v>4</v>
      </c>
      <c r="Y55" s="22">
        <f t="shared" si="7"/>
        <v>18</v>
      </c>
      <c r="Z55" s="22">
        <f t="shared" si="8"/>
        <v>75</v>
      </c>
    </row>
    <row r="56" spans="1:26" ht="22.8" x14ac:dyDescent="0.4">
      <c r="A56" s="96">
        <v>51</v>
      </c>
      <c r="B56" s="97" t="s">
        <v>136</v>
      </c>
      <c r="C56" s="98" t="s">
        <v>137</v>
      </c>
      <c r="D56" s="99">
        <v>2</v>
      </c>
      <c r="E56" s="99">
        <v>2</v>
      </c>
      <c r="F56" s="93">
        <f t="shared" si="3"/>
        <v>4</v>
      </c>
      <c r="G56" s="99">
        <v>2</v>
      </c>
      <c r="H56" s="99">
        <v>0</v>
      </c>
      <c r="I56" s="93">
        <f t="shared" si="4"/>
        <v>2</v>
      </c>
      <c r="J56" s="99">
        <v>2</v>
      </c>
      <c r="K56" s="99">
        <v>2</v>
      </c>
      <c r="L56" s="93">
        <f t="shared" si="5"/>
        <v>4</v>
      </c>
      <c r="M56" s="99">
        <v>2</v>
      </c>
      <c r="N56" s="95">
        <f t="shared" si="6"/>
        <v>2</v>
      </c>
      <c r="O56" s="99">
        <v>2</v>
      </c>
      <c r="P56" s="99">
        <v>2</v>
      </c>
      <c r="Q56" s="100">
        <f t="shared" si="9"/>
        <v>4</v>
      </c>
      <c r="R56" s="99">
        <v>2</v>
      </c>
      <c r="S56" s="100">
        <f t="shared" si="10"/>
        <v>2</v>
      </c>
      <c r="T56" s="99">
        <v>2</v>
      </c>
      <c r="U56" s="99">
        <v>2</v>
      </c>
      <c r="V56" s="100">
        <f t="shared" si="11"/>
        <v>4</v>
      </c>
      <c r="Y56" s="22">
        <f t="shared" si="7"/>
        <v>22</v>
      </c>
      <c r="Z56" s="22">
        <f t="shared" si="8"/>
        <v>91.666666666666657</v>
      </c>
    </row>
    <row r="57" spans="1:26" ht="22.8" x14ac:dyDescent="0.4">
      <c r="A57" s="96">
        <v>52</v>
      </c>
      <c r="B57" s="97" t="s">
        <v>138</v>
      </c>
      <c r="C57" s="98" t="s">
        <v>139</v>
      </c>
      <c r="D57" s="99">
        <v>2</v>
      </c>
      <c r="E57" s="99">
        <v>2</v>
      </c>
      <c r="F57" s="93">
        <f t="shared" si="3"/>
        <v>4</v>
      </c>
      <c r="G57" s="99">
        <v>2</v>
      </c>
      <c r="H57" s="99">
        <v>2</v>
      </c>
      <c r="I57" s="93">
        <f t="shared" si="4"/>
        <v>4</v>
      </c>
      <c r="J57" s="99">
        <v>0</v>
      </c>
      <c r="K57" s="99">
        <v>2</v>
      </c>
      <c r="L57" s="93">
        <f t="shared" si="5"/>
        <v>2</v>
      </c>
      <c r="M57" s="99">
        <v>2</v>
      </c>
      <c r="N57" s="95">
        <f t="shared" si="6"/>
        <v>2</v>
      </c>
      <c r="O57" s="99">
        <v>2</v>
      </c>
      <c r="P57" s="99">
        <v>2</v>
      </c>
      <c r="Q57" s="100">
        <f t="shared" si="9"/>
        <v>4</v>
      </c>
      <c r="R57" s="99">
        <v>2</v>
      </c>
      <c r="S57" s="100">
        <f t="shared" si="10"/>
        <v>2</v>
      </c>
      <c r="T57" s="99">
        <v>2</v>
      </c>
      <c r="U57" s="99">
        <v>2</v>
      </c>
      <c r="V57" s="100">
        <f t="shared" si="11"/>
        <v>4</v>
      </c>
      <c r="Y57" s="22">
        <f t="shared" si="7"/>
        <v>22</v>
      </c>
      <c r="Z57" s="22">
        <f t="shared" si="8"/>
        <v>91.666666666666657</v>
      </c>
    </row>
    <row r="58" spans="1:26" ht="22.8" x14ac:dyDescent="0.4">
      <c r="A58" s="96">
        <v>53</v>
      </c>
      <c r="B58" s="97" t="s">
        <v>140</v>
      </c>
      <c r="C58" s="98" t="s">
        <v>141</v>
      </c>
      <c r="D58" s="99">
        <v>2</v>
      </c>
      <c r="E58" s="99">
        <v>2</v>
      </c>
      <c r="F58" s="93">
        <f t="shared" si="3"/>
        <v>4</v>
      </c>
      <c r="G58" s="99">
        <v>2</v>
      </c>
      <c r="H58" s="99">
        <v>2</v>
      </c>
      <c r="I58" s="93">
        <f t="shared" si="4"/>
        <v>4</v>
      </c>
      <c r="J58" s="99">
        <v>2</v>
      </c>
      <c r="K58" s="99">
        <v>0</v>
      </c>
      <c r="L58" s="93">
        <f t="shared" si="5"/>
        <v>2</v>
      </c>
      <c r="M58" s="99">
        <v>2</v>
      </c>
      <c r="N58" s="95">
        <f t="shared" si="6"/>
        <v>2</v>
      </c>
      <c r="O58" s="99">
        <v>2</v>
      </c>
      <c r="P58" s="99">
        <v>2</v>
      </c>
      <c r="Q58" s="100">
        <f t="shared" si="9"/>
        <v>4</v>
      </c>
      <c r="R58" s="99">
        <v>2</v>
      </c>
      <c r="S58" s="100">
        <f t="shared" si="10"/>
        <v>2</v>
      </c>
      <c r="T58" s="99">
        <v>2</v>
      </c>
      <c r="U58" s="99">
        <v>2</v>
      </c>
      <c r="V58" s="100">
        <f t="shared" si="11"/>
        <v>4</v>
      </c>
      <c r="Y58" s="22">
        <f t="shared" si="7"/>
        <v>22</v>
      </c>
      <c r="Z58" s="22">
        <f t="shared" si="8"/>
        <v>91.666666666666657</v>
      </c>
    </row>
    <row r="59" spans="1:26" ht="22.8" x14ac:dyDescent="0.4">
      <c r="A59" s="96">
        <v>54</v>
      </c>
      <c r="B59" s="97" t="s">
        <v>142</v>
      </c>
      <c r="C59" s="98" t="s">
        <v>143</v>
      </c>
      <c r="D59" s="99">
        <v>2</v>
      </c>
      <c r="E59" s="99">
        <v>2</v>
      </c>
      <c r="F59" s="93">
        <f t="shared" si="3"/>
        <v>4</v>
      </c>
      <c r="G59" s="99">
        <v>2</v>
      </c>
      <c r="H59" s="99">
        <v>2</v>
      </c>
      <c r="I59" s="93">
        <f t="shared" si="4"/>
        <v>4</v>
      </c>
      <c r="J59" s="99">
        <v>2</v>
      </c>
      <c r="K59" s="99">
        <v>2</v>
      </c>
      <c r="L59" s="93">
        <f t="shared" si="5"/>
        <v>4</v>
      </c>
      <c r="M59" s="99">
        <v>0</v>
      </c>
      <c r="N59" s="95">
        <f t="shared" si="6"/>
        <v>0</v>
      </c>
      <c r="O59" s="99">
        <v>2</v>
      </c>
      <c r="P59" s="99">
        <v>2</v>
      </c>
      <c r="Q59" s="100">
        <f t="shared" si="9"/>
        <v>4</v>
      </c>
      <c r="R59" s="99">
        <v>2</v>
      </c>
      <c r="S59" s="100">
        <f t="shared" si="10"/>
        <v>2</v>
      </c>
      <c r="T59" s="99">
        <v>2</v>
      </c>
      <c r="U59" s="99">
        <v>2</v>
      </c>
      <c r="V59" s="100">
        <f t="shared" si="11"/>
        <v>4</v>
      </c>
      <c r="Y59" s="22">
        <f t="shared" si="7"/>
        <v>22</v>
      </c>
      <c r="Z59" s="22">
        <f t="shared" si="8"/>
        <v>91.666666666666657</v>
      </c>
    </row>
    <row r="60" spans="1:26" ht="22.8" x14ac:dyDescent="0.4">
      <c r="A60" s="96">
        <v>55</v>
      </c>
      <c r="B60" s="97" t="s">
        <v>144</v>
      </c>
      <c r="C60" s="98" t="s">
        <v>145</v>
      </c>
      <c r="D60" s="99">
        <v>2</v>
      </c>
      <c r="E60" s="99">
        <v>2</v>
      </c>
      <c r="F60" s="93">
        <f t="shared" si="3"/>
        <v>4</v>
      </c>
      <c r="G60" s="99">
        <v>2</v>
      </c>
      <c r="H60" s="99">
        <v>0</v>
      </c>
      <c r="I60" s="93">
        <f t="shared" si="4"/>
        <v>2</v>
      </c>
      <c r="J60" s="99">
        <v>2</v>
      </c>
      <c r="K60" s="99">
        <v>2</v>
      </c>
      <c r="L60" s="93">
        <f t="shared" si="5"/>
        <v>4</v>
      </c>
      <c r="M60" s="99">
        <v>2</v>
      </c>
      <c r="N60" s="95">
        <f t="shared" si="6"/>
        <v>2</v>
      </c>
      <c r="O60" s="99">
        <v>2</v>
      </c>
      <c r="P60" s="99">
        <v>2</v>
      </c>
      <c r="Q60" s="100">
        <f t="shared" si="9"/>
        <v>4</v>
      </c>
      <c r="R60" s="99">
        <v>2</v>
      </c>
      <c r="S60" s="100">
        <f t="shared" si="10"/>
        <v>2</v>
      </c>
      <c r="T60" s="99">
        <v>2</v>
      </c>
      <c r="U60" s="99">
        <v>2</v>
      </c>
      <c r="V60" s="100">
        <f t="shared" si="11"/>
        <v>4</v>
      </c>
      <c r="Y60" s="22">
        <f t="shared" si="7"/>
        <v>22</v>
      </c>
      <c r="Z60" s="22">
        <f t="shared" si="8"/>
        <v>91.666666666666657</v>
      </c>
    </row>
    <row r="61" spans="1:26" ht="22.8" x14ac:dyDescent="0.4">
      <c r="A61" s="96">
        <v>56</v>
      </c>
      <c r="B61" s="97" t="s">
        <v>146</v>
      </c>
      <c r="C61" s="98" t="s">
        <v>147</v>
      </c>
      <c r="D61" s="99">
        <v>2</v>
      </c>
      <c r="E61" s="99">
        <v>2</v>
      </c>
      <c r="F61" s="93">
        <f t="shared" si="3"/>
        <v>4</v>
      </c>
      <c r="G61" s="99">
        <v>2</v>
      </c>
      <c r="H61" s="99">
        <v>0</v>
      </c>
      <c r="I61" s="93">
        <f t="shared" si="4"/>
        <v>2</v>
      </c>
      <c r="J61" s="99">
        <v>2</v>
      </c>
      <c r="K61" s="99">
        <v>2</v>
      </c>
      <c r="L61" s="93">
        <f t="shared" si="5"/>
        <v>4</v>
      </c>
      <c r="M61" s="99">
        <v>2</v>
      </c>
      <c r="N61" s="95">
        <f t="shared" si="6"/>
        <v>2</v>
      </c>
      <c r="O61" s="99">
        <v>2</v>
      </c>
      <c r="P61" s="99">
        <v>2</v>
      </c>
      <c r="Q61" s="100">
        <f t="shared" si="9"/>
        <v>4</v>
      </c>
      <c r="R61" s="99">
        <v>2</v>
      </c>
      <c r="S61" s="100">
        <f t="shared" si="10"/>
        <v>2</v>
      </c>
      <c r="T61" s="99">
        <v>2</v>
      </c>
      <c r="U61" s="99">
        <v>2</v>
      </c>
      <c r="V61" s="100">
        <f t="shared" si="11"/>
        <v>4</v>
      </c>
      <c r="Y61" s="22">
        <f t="shared" si="7"/>
        <v>22</v>
      </c>
      <c r="Z61" s="22">
        <f t="shared" si="8"/>
        <v>91.666666666666657</v>
      </c>
    </row>
    <row r="62" spans="1:26" ht="22.8" x14ac:dyDescent="0.4">
      <c r="A62" s="96">
        <v>57</v>
      </c>
      <c r="B62" s="97" t="s">
        <v>148</v>
      </c>
      <c r="C62" s="98" t="s">
        <v>149</v>
      </c>
      <c r="D62" s="99">
        <v>2</v>
      </c>
      <c r="E62" s="99">
        <v>2</v>
      </c>
      <c r="F62" s="93">
        <f t="shared" si="3"/>
        <v>4</v>
      </c>
      <c r="G62" s="99">
        <v>2</v>
      </c>
      <c r="H62" s="99">
        <v>2</v>
      </c>
      <c r="I62" s="93">
        <f t="shared" si="4"/>
        <v>4</v>
      </c>
      <c r="J62" s="99">
        <v>2</v>
      </c>
      <c r="K62" s="99">
        <v>2</v>
      </c>
      <c r="L62" s="93">
        <f t="shared" si="5"/>
        <v>4</v>
      </c>
      <c r="M62" s="99">
        <v>0</v>
      </c>
      <c r="N62" s="95">
        <f t="shared" si="6"/>
        <v>0</v>
      </c>
      <c r="O62" s="99">
        <v>2</v>
      </c>
      <c r="P62" s="99">
        <v>2</v>
      </c>
      <c r="Q62" s="100">
        <f t="shared" si="9"/>
        <v>4</v>
      </c>
      <c r="R62" s="99">
        <v>2</v>
      </c>
      <c r="S62" s="100">
        <f t="shared" si="10"/>
        <v>2</v>
      </c>
      <c r="T62" s="99">
        <v>2</v>
      </c>
      <c r="U62" s="99">
        <v>2</v>
      </c>
      <c r="V62" s="100">
        <f t="shared" si="11"/>
        <v>4</v>
      </c>
      <c r="Y62" s="22">
        <f t="shared" si="7"/>
        <v>22</v>
      </c>
      <c r="Z62" s="22">
        <f t="shared" si="8"/>
        <v>91.666666666666657</v>
      </c>
    </row>
    <row r="63" spans="1:26" ht="22.8" x14ac:dyDescent="0.4">
      <c r="A63" s="96">
        <v>58</v>
      </c>
      <c r="B63" s="97" t="s">
        <v>150</v>
      </c>
      <c r="C63" s="98" t="s">
        <v>151</v>
      </c>
      <c r="D63" s="99">
        <v>2</v>
      </c>
      <c r="E63" s="99">
        <v>2</v>
      </c>
      <c r="F63" s="93">
        <f t="shared" si="3"/>
        <v>4</v>
      </c>
      <c r="G63" s="99">
        <v>2</v>
      </c>
      <c r="H63" s="99">
        <v>2</v>
      </c>
      <c r="I63" s="93">
        <f t="shared" si="4"/>
        <v>4</v>
      </c>
      <c r="J63" s="99">
        <v>2</v>
      </c>
      <c r="K63" s="99">
        <v>0</v>
      </c>
      <c r="L63" s="93">
        <f t="shared" si="5"/>
        <v>2</v>
      </c>
      <c r="M63" s="99">
        <v>2</v>
      </c>
      <c r="N63" s="95">
        <f t="shared" si="6"/>
        <v>2</v>
      </c>
      <c r="O63" s="99">
        <v>0</v>
      </c>
      <c r="P63" s="99">
        <v>0</v>
      </c>
      <c r="Q63" s="100">
        <f t="shared" si="9"/>
        <v>0</v>
      </c>
      <c r="R63" s="99">
        <v>2</v>
      </c>
      <c r="S63" s="100">
        <f t="shared" si="10"/>
        <v>2</v>
      </c>
      <c r="T63" s="99">
        <v>2</v>
      </c>
      <c r="U63" s="99">
        <v>2</v>
      </c>
      <c r="V63" s="100">
        <f t="shared" si="11"/>
        <v>4</v>
      </c>
      <c r="Y63" s="22">
        <f t="shared" si="7"/>
        <v>18</v>
      </c>
      <c r="Z63" s="22">
        <f t="shared" si="8"/>
        <v>75</v>
      </c>
    </row>
    <row r="64" spans="1:26" ht="22.8" x14ac:dyDescent="0.4">
      <c r="A64" s="96">
        <v>59</v>
      </c>
      <c r="B64" s="97" t="s">
        <v>152</v>
      </c>
      <c r="C64" s="98" t="s">
        <v>153</v>
      </c>
      <c r="D64" s="99">
        <v>2</v>
      </c>
      <c r="E64" s="99">
        <v>2</v>
      </c>
      <c r="F64" s="93">
        <f t="shared" si="3"/>
        <v>4</v>
      </c>
      <c r="G64" s="99">
        <v>2</v>
      </c>
      <c r="H64" s="99">
        <v>2</v>
      </c>
      <c r="I64" s="93">
        <f t="shared" si="4"/>
        <v>4</v>
      </c>
      <c r="J64" s="99">
        <v>0</v>
      </c>
      <c r="K64" s="99">
        <v>2</v>
      </c>
      <c r="L64" s="93">
        <f t="shared" si="5"/>
        <v>2</v>
      </c>
      <c r="M64" s="99">
        <v>2</v>
      </c>
      <c r="N64" s="95">
        <f t="shared" si="6"/>
        <v>2</v>
      </c>
      <c r="O64" s="99">
        <v>0</v>
      </c>
      <c r="P64" s="99">
        <v>0</v>
      </c>
      <c r="Q64" s="100">
        <f t="shared" si="9"/>
        <v>0</v>
      </c>
      <c r="R64" s="99">
        <v>2</v>
      </c>
      <c r="S64" s="100">
        <f t="shared" si="10"/>
        <v>2</v>
      </c>
      <c r="T64" s="99">
        <v>2</v>
      </c>
      <c r="U64" s="99">
        <v>2</v>
      </c>
      <c r="V64" s="100">
        <f t="shared" si="11"/>
        <v>4</v>
      </c>
      <c r="Y64" s="22">
        <f t="shared" si="7"/>
        <v>18</v>
      </c>
      <c r="Z64" s="22">
        <f t="shared" si="8"/>
        <v>75</v>
      </c>
    </row>
    <row r="65" spans="1:26" ht="22.8" x14ac:dyDescent="0.4">
      <c r="A65" s="96">
        <v>60</v>
      </c>
      <c r="B65" s="97" t="s">
        <v>154</v>
      </c>
      <c r="C65" s="98" t="s">
        <v>155</v>
      </c>
      <c r="D65" s="99">
        <v>2</v>
      </c>
      <c r="E65" s="99">
        <v>2</v>
      </c>
      <c r="F65" s="93">
        <f t="shared" si="3"/>
        <v>4</v>
      </c>
      <c r="G65" s="99">
        <v>2</v>
      </c>
      <c r="H65" s="99">
        <v>0</v>
      </c>
      <c r="I65" s="93">
        <f t="shared" si="4"/>
        <v>2</v>
      </c>
      <c r="J65" s="99">
        <v>2</v>
      </c>
      <c r="K65" s="99">
        <v>2</v>
      </c>
      <c r="L65" s="93">
        <f t="shared" si="5"/>
        <v>4</v>
      </c>
      <c r="M65" s="99">
        <v>2</v>
      </c>
      <c r="N65" s="95">
        <f t="shared" si="6"/>
        <v>2</v>
      </c>
      <c r="O65" s="99">
        <v>2</v>
      </c>
      <c r="P65" s="99">
        <v>2</v>
      </c>
      <c r="Q65" s="100">
        <f t="shared" si="9"/>
        <v>4</v>
      </c>
      <c r="R65" s="99">
        <v>2</v>
      </c>
      <c r="S65" s="100">
        <f t="shared" si="10"/>
        <v>2</v>
      </c>
      <c r="T65" s="99">
        <v>2</v>
      </c>
      <c r="U65" s="99">
        <v>2</v>
      </c>
      <c r="V65" s="100">
        <f t="shared" si="11"/>
        <v>4</v>
      </c>
      <c r="Y65" s="22">
        <f t="shared" si="7"/>
        <v>22</v>
      </c>
      <c r="Z65" s="22">
        <f t="shared" si="8"/>
        <v>91.666666666666657</v>
      </c>
    </row>
    <row r="66" spans="1:26" ht="22.8" x14ac:dyDescent="0.4">
      <c r="A66" s="96">
        <v>61</v>
      </c>
      <c r="B66" s="97" t="s">
        <v>156</v>
      </c>
      <c r="C66" s="98" t="s">
        <v>157</v>
      </c>
      <c r="D66" s="99">
        <v>2</v>
      </c>
      <c r="E66" s="99">
        <v>2</v>
      </c>
      <c r="F66" s="93">
        <f t="shared" si="3"/>
        <v>4</v>
      </c>
      <c r="G66" s="99">
        <v>0</v>
      </c>
      <c r="H66" s="99">
        <v>2</v>
      </c>
      <c r="I66" s="93">
        <f t="shared" si="4"/>
        <v>2</v>
      </c>
      <c r="J66" s="99">
        <v>2</v>
      </c>
      <c r="K66" s="99">
        <v>2</v>
      </c>
      <c r="L66" s="93">
        <f t="shared" si="5"/>
        <v>4</v>
      </c>
      <c r="M66" s="99">
        <v>2</v>
      </c>
      <c r="N66" s="95">
        <f t="shared" si="6"/>
        <v>2</v>
      </c>
      <c r="O66" s="99">
        <v>0</v>
      </c>
      <c r="P66" s="99">
        <v>0</v>
      </c>
      <c r="Q66" s="100">
        <f t="shared" si="9"/>
        <v>0</v>
      </c>
      <c r="R66" s="99">
        <v>2</v>
      </c>
      <c r="S66" s="100">
        <f t="shared" si="10"/>
        <v>2</v>
      </c>
      <c r="T66" s="99">
        <v>2</v>
      </c>
      <c r="U66" s="99">
        <v>2</v>
      </c>
      <c r="V66" s="100">
        <f t="shared" si="11"/>
        <v>4</v>
      </c>
      <c r="Y66" s="22">
        <f t="shared" si="7"/>
        <v>18</v>
      </c>
      <c r="Z66" s="22">
        <f t="shared" si="8"/>
        <v>75</v>
      </c>
    </row>
    <row r="67" spans="1:26" ht="22.8" x14ac:dyDescent="0.4">
      <c r="A67" s="96">
        <v>62</v>
      </c>
      <c r="B67" s="97" t="s">
        <v>158</v>
      </c>
      <c r="C67" s="98" t="s">
        <v>159</v>
      </c>
      <c r="D67" s="99">
        <v>2</v>
      </c>
      <c r="E67" s="99">
        <v>0</v>
      </c>
      <c r="F67" s="93">
        <f t="shared" si="3"/>
        <v>2</v>
      </c>
      <c r="G67" s="99">
        <v>2</v>
      </c>
      <c r="H67" s="99">
        <v>2</v>
      </c>
      <c r="I67" s="93">
        <f t="shared" si="4"/>
        <v>4</v>
      </c>
      <c r="J67" s="99">
        <v>2</v>
      </c>
      <c r="K67" s="99">
        <v>2</v>
      </c>
      <c r="L67" s="93">
        <f t="shared" si="5"/>
        <v>4</v>
      </c>
      <c r="M67" s="99">
        <v>2</v>
      </c>
      <c r="N67" s="95">
        <f t="shared" si="6"/>
        <v>2</v>
      </c>
      <c r="O67" s="99">
        <v>0</v>
      </c>
      <c r="P67" s="99">
        <v>0</v>
      </c>
      <c r="Q67" s="100">
        <f t="shared" si="9"/>
        <v>0</v>
      </c>
      <c r="R67" s="99">
        <v>2</v>
      </c>
      <c r="S67" s="100">
        <f t="shared" si="10"/>
        <v>2</v>
      </c>
      <c r="T67" s="99">
        <v>2</v>
      </c>
      <c r="U67" s="99">
        <v>2</v>
      </c>
      <c r="V67" s="100">
        <f t="shared" si="11"/>
        <v>4</v>
      </c>
      <c r="Y67" s="22">
        <f t="shared" si="7"/>
        <v>18</v>
      </c>
      <c r="Z67" s="22">
        <f t="shared" si="8"/>
        <v>75</v>
      </c>
    </row>
    <row r="68" spans="1:26" ht="22.8" x14ac:dyDescent="0.4">
      <c r="A68" s="96">
        <v>63</v>
      </c>
      <c r="B68" s="97" t="s">
        <v>160</v>
      </c>
      <c r="C68" s="98" t="s">
        <v>161</v>
      </c>
      <c r="D68" s="99">
        <v>0</v>
      </c>
      <c r="E68" s="99">
        <v>2</v>
      </c>
      <c r="F68" s="93">
        <f t="shared" si="3"/>
        <v>2</v>
      </c>
      <c r="G68" s="99">
        <v>2</v>
      </c>
      <c r="H68" s="99">
        <v>2</v>
      </c>
      <c r="I68" s="93">
        <f t="shared" si="4"/>
        <v>4</v>
      </c>
      <c r="J68" s="99">
        <v>2</v>
      </c>
      <c r="K68" s="99">
        <v>2</v>
      </c>
      <c r="L68" s="93">
        <f t="shared" si="5"/>
        <v>4</v>
      </c>
      <c r="M68" s="99">
        <v>2</v>
      </c>
      <c r="N68" s="95">
        <f t="shared" si="6"/>
        <v>2</v>
      </c>
      <c r="O68" s="99">
        <v>2</v>
      </c>
      <c r="P68" s="99">
        <v>2</v>
      </c>
      <c r="Q68" s="100">
        <f t="shared" si="9"/>
        <v>4</v>
      </c>
      <c r="R68" s="99">
        <v>2</v>
      </c>
      <c r="S68" s="100">
        <f t="shared" si="10"/>
        <v>2</v>
      </c>
      <c r="T68" s="99">
        <v>2</v>
      </c>
      <c r="U68" s="99">
        <v>2</v>
      </c>
      <c r="V68" s="100">
        <f t="shared" si="11"/>
        <v>4</v>
      </c>
      <c r="Y68" s="22">
        <f t="shared" si="7"/>
        <v>22</v>
      </c>
      <c r="Z68" s="22">
        <f t="shared" si="8"/>
        <v>91.666666666666657</v>
      </c>
    </row>
    <row r="69" spans="1:26" ht="22.8" x14ac:dyDescent="0.4">
      <c r="A69" s="96">
        <v>64</v>
      </c>
      <c r="B69" s="97" t="s">
        <v>162</v>
      </c>
      <c r="C69" s="98" t="s">
        <v>163</v>
      </c>
      <c r="D69" s="99">
        <v>2</v>
      </c>
      <c r="E69" s="99">
        <v>0</v>
      </c>
      <c r="F69" s="93">
        <f t="shared" si="3"/>
        <v>2</v>
      </c>
      <c r="G69" s="99">
        <v>2</v>
      </c>
      <c r="H69" s="99">
        <v>2</v>
      </c>
      <c r="I69" s="93">
        <f t="shared" si="4"/>
        <v>4</v>
      </c>
      <c r="J69" s="99">
        <v>2</v>
      </c>
      <c r="K69" s="99">
        <v>2</v>
      </c>
      <c r="L69" s="93">
        <f t="shared" si="5"/>
        <v>4</v>
      </c>
      <c r="M69" s="99">
        <v>2</v>
      </c>
      <c r="N69" s="95">
        <f t="shared" si="6"/>
        <v>2</v>
      </c>
      <c r="O69" s="99">
        <v>2</v>
      </c>
      <c r="P69" s="99">
        <v>2</v>
      </c>
      <c r="Q69" s="100">
        <f t="shared" ref="Q69:Q70" si="12">SUM(O69:P69)</f>
        <v>4</v>
      </c>
      <c r="R69" s="99">
        <v>2</v>
      </c>
      <c r="S69" s="100">
        <f t="shared" ref="S69:S70" si="13">SUM(R69:R69)</f>
        <v>2</v>
      </c>
      <c r="T69" s="99">
        <v>2</v>
      </c>
      <c r="U69" s="99">
        <v>2</v>
      </c>
      <c r="V69" s="100">
        <f t="shared" ref="V69:V70" si="14">SUM(T69:U69)</f>
        <v>4</v>
      </c>
      <c r="Y69" s="22">
        <f t="shared" si="7"/>
        <v>22</v>
      </c>
      <c r="Z69" s="22">
        <f t="shared" si="8"/>
        <v>91.666666666666657</v>
      </c>
    </row>
    <row r="70" spans="1:26" ht="45.6" x14ac:dyDescent="0.4">
      <c r="A70" s="96">
        <v>65</v>
      </c>
      <c r="B70" s="101" t="s">
        <v>164</v>
      </c>
      <c r="C70" s="102" t="s">
        <v>165</v>
      </c>
      <c r="D70" s="99">
        <v>2</v>
      </c>
      <c r="E70" s="99">
        <v>2</v>
      </c>
      <c r="F70" s="93">
        <f t="shared" ref="F70" si="15">SUM(D70:E70)</f>
        <v>4</v>
      </c>
      <c r="G70" s="99">
        <v>0</v>
      </c>
      <c r="H70" s="99">
        <v>2</v>
      </c>
      <c r="I70" s="93">
        <f t="shared" ref="I70" si="16">SUM(G70:H70)</f>
        <v>2</v>
      </c>
      <c r="J70" s="99">
        <v>2</v>
      </c>
      <c r="K70" s="99">
        <v>2</v>
      </c>
      <c r="L70" s="93">
        <f t="shared" ref="L70" si="17">SUM(J70:K70)</f>
        <v>4</v>
      </c>
      <c r="M70" s="99">
        <v>2</v>
      </c>
      <c r="N70" s="95">
        <f t="shared" ref="N70" si="18">SUM(M70:M70)</f>
        <v>2</v>
      </c>
      <c r="O70" s="99">
        <v>0</v>
      </c>
      <c r="P70" s="99">
        <v>0</v>
      </c>
      <c r="Q70" s="100">
        <f t="shared" si="12"/>
        <v>0</v>
      </c>
      <c r="R70" s="99">
        <v>2</v>
      </c>
      <c r="S70" s="100">
        <f t="shared" si="13"/>
        <v>2</v>
      </c>
      <c r="T70" s="99">
        <v>2</v>
      </c>
      <c r="U70" s="99">
        <v>2</v>
      </c>
      <c r="V70" s="100">
        <f t="shared" si="14"/>
        <v>4</v>
      </c>
      <c r="Y70" s="22">
        <f t="shared" si="7"/>
        <v>18</v>
      </c>
      <c r="Z70" s="22">
        <f t="shared" si="8"/>
        <v>75</v>
      </c>
    </row>
  </sheetData>
  <mergeCells count="17">
    <mergeCell ref="M2"/>
    <mergeCell ref="N2:N3"/>
    <mergeCell ref="A3:A4"/>
    <mergeCell ref="B3:B4"/>
    <mergeCell ref="A5:B5"/>
    <mergeCell ref="D2:E2"/>
    <mergeCell ref="F2:F3"/>
    <mergeCell ref="G2:H2"/>
    <mergeCell ref="I2:I3"/>
    <mergeCell ref="J2:K2"/>
    <mergeCell ref="L2:L3"/>
    <mergeCell ref="V2:V3"/>
    <mergeCell ref="O2:P2"/>
    <mergeCell ref="Q2:Q3"/>
    <mergeCell ref="R2"/>
    <mergeCell ref="S2:S3"/>
    <mergeCell ref="T2:U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6"/>
  <sheetViews>
    <sheetView workbookViewId="0">
      <selection activeCell="J20" sqref="J20"/>
    </sheetView>
  </sheetViews>
  <sheetFormatPr defaultRowHeight="14.4" x14ac:dyDescent="0.3"/>
  <cols>
    <col min="2" max="3" width="11.109375" bestFit="1" customWidth="1"/>
    <col min="4" max="6" width="5.6640625" customWidth="1"/>
  </cols>
  <sheetData>
    <row r="2" spans="1:14" ht="15" x14ac:dyDescent="0.25">
      <c r="A2" s="11" t="s">
        <v>20</v>
      </c>
      <c r="B2" s="11" t="s">
        <v>34</v>
      </c>
      <c r="C2" s="11" t="s">
        <v>21</v>
      </c>
      <c r="D2" s="68" t="s">
        <v>22</v>
      </c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x14ac:dyDescent="0.3">
      <c r="A3" s="65" t="s">
        <v>23</v>
      </c>
      <c r="B3" s="12" t="s">
        <v>16</v>
      </c>
      <c r="C3" s="11" t="s">
        <v>7</v>
      </c>
      <c r="D3" s="11"/>
      <c r="E3" s="11"/>
      <c r="F3" s="11"/>
      <c r="G3" s="11"/>
    </row>
    <row r="4" spans="1:14" x14ac:dyDescent="0.3">
      <c r="A4" s="66"/>
      <c r="B4" s="12" t="s">
        <v>17</v>
      </c>
      <c r="C4" s="11" t="s">
        <v>14</v>
      </c>
      <c r="D4" s="11"/>
      <c r="E4" s="11"/>
      <c r="F4" s="11"/>
      <c r="G4" s="11"/>
    </row>
    <row r="5" spans="1:14" x14ac:dyDescent="0.3">
      <c r="A5" s="66"/>
      <c r="B5" s="12" t="s">
        <v>18</v>
      </c>
      <c r="C5" s="11" t="s">
        <v>14</v>
      </c>
      <c r="D5" s="11"/>
      <c r="E5" s="11"/>
      <c r="F5" s="11"/>
      <c r="G5" s="11"/>
    </row>
    <row r="6" spans="1:14" x14ac:dyDescent="0.3">
      <c r="A6" s="67"/>
      <c r="B6" s="12" t="s">
        <v>19</v>
      </c>
      <c r="C6" s="11" t="s">
        <v>15</v>
      </c>
      <c r="D6" s="11"/>
      <c r="E6" s="11"/>
      <c r="F6" s="11"/>
      <c r="G6" s="11"/>
    </row>
    <row r="7" spans="1:14" x14ac:dyDescent="0.3">
      <c r="A7" s="65" t="s">
        <v>24</v>
      </c>
      <c r="B7" s="12" t="s">
        <v>16</v>
      </c>
      <c r="C7" s="11" t="s">
        <v>7</v>
      </c>
      <c r="D7" s="11"/>
      <c r="E7" s="11"/>
      <c r="F7" s="11"/>
      <c r="G7" s="11"/>
    </row>
    <row r="8" spans="1:14" x14ac:dyDescent="0.3">
      <c r="A8" s="66"/>
      <c r="B8" s="12" t="s">
        <v>17</v>
      </c>
      <c r="C8" s="11" t="s">
        <v>14</v>
      </c>
      <c r="D8" s="11"/>
      <c r="E8" s="11"/>
      <c r="F8" s="11"/>
      <c r="G8" s="11"/>
    </row>
    <row r="9" spans="1:14" x14ac:dyDescent="0.3">
      <c r="A9" s="66"/>
      <c r="B9" s="12" t="s">
        <v>18</v>
      </c>
      <c r="C9" s="11" t="s">
        <v>14</v>
      </c>
      <c r="D9" s="11"/>
      <c r="E9" s="11"/>
      <c r="F9" s="11"/>
      <c r="G9" s="11"/>
    </row>
    <row r="10" spans="1:14" x14ac:dyDescent="0.3">
      <c r="A10" s="67"/>
      <c r="B10" s="12" t="s">
        <v>19</v>
      </c>
      <c r="C10" s="11" t="s">
        <v>15</v>
      </c>
      <c r="D10" s="11"/>
      <c r="E10" s="11"/>
      <c r="F10" s="11"/>
      <c r="G10" s="11"/>
    </row>
    <row r="11" spans="1:14" x14ac:dyDescent="0.3">
      <c r="A11" s="65" t="s">
        <v>25</v>
      </c>
      <c r="B11" s="12" t="s">
        <v>16</v>
      </c>
      <c r="C11" s="11" t="s">
        <v>7</v>
      </c>
      <c r="D11" s="11"/>
      <c r="E11" s="11"/>
      <c r="F11" s="11"/>
      <c r="G11" s="11"/>
    </row>
    <row r="12" spans="1:14" x14ac:dyDescent="0.3">
      <c r="A12" s="66"/>
      <c r="B12" s="12" t="s">
        <v>17</v>
      </c>
      <c r="C12" s="11" t="s">
        <v>14</v>
      </c>
      <c r="D12" s="11"/>
      <c r="E12" s="11"/>
      <c r="F12" s="11"/>
      <c r="G12" s="11"/>
    </row>
    <row r="13" spans="1:14" x14ac:dyDescent="0.3">
      <c r="A13" s="66"/>
      <c r="B13" s="12" t="s">
        <v>18</v>
      </c>
      <c r="C13" s="11" t="s">
        <v>14</v>
      </c>
      <c r="D13" s="11"/>
      <c r="E13" s="11"/>
      <c r="F13" s="11"/>
      <c r="G13" s="11"/>
    </row>
    <row r="14" spans="1:14" x14ac:dyDescent="0.3">
      <c r="A14" s="67"/>
      <c r="B14" s="12" t="s">
        <v>19</v>
      </c>
      <c r="C14" s="11" t="s">
        <v>15</v>
      </c>
      <c r="D14" s="11"/>
      <c r="E14" s="11"/>
      <c r="F14" s="11"/>
      <c r="G14" s="11"/>
    </row>
    <row r="15" spans="1:14" x14ac:dyDescent="0.3">
      <c r="A15" s="65" t="s">
        <v>26</v>
      </c>
      <c r="B15" s="12" t="s">
        <v>16</v>
      </c>
      <c r="C15" s="11" t="s">
        <v>7</v>
      </c>
      <c r="D15" s="11"/>
      <c r="E15" s="11"/>
      <c r="F15" s="11"/>
      <c r="G15" s="11"/>
    </row>
    <row r="16" spans="1:14" x14ac:dyDescent="0.3">
      <c r="A16" s="66"/>
      <c r="B16" s="12" t="s">
        <v>17</v>
      </c>
      <c r="C16" s="11" t="s">
        <v>14</v>
      </c>
      <c r="D16" s="11"/>
      <c r="E16" s="11"/>
      <c r="F16" s="11"/>
      <c r="G16" s="11"/>
    </row>
    <row r="17" spans="1:14" x14ac:dyDescent="0.3">
      <c r="A17" s="66"/>
      <c r="B17" s="12" t="s">
        <v>18</v>
      </c>
      <c r="C17" s="11" t="s">
        <v>14</v>
      </c>
      <c r="D17" s="11"/>
      <c r="E17" s="11"/>
      <c r="F17" s="11"/>
      <c r="G17" s="11"/>
    </row>
    <row r="18" spans="1:14" x14ac:dyDescent="0.3">
      <c r="A18" s="67"/>
      <c r="B18" s="12" t="s">
        <v>19</v>
      </c>
      <c r="C18" s="11" t="s">
        <v>15</v>
      </c>
      <c r="D18" s="11"/>
      <c r="E18" s="11"/>
      <c r="F18" s="11"/>
      <c r="G18" s="11"/>
    </row>
    <row r="19" spans="1:14" x14ac:dyDescent="0.3">
      <c r="A19" s="65" t="s">
        <v>27</v>
      </c>
      <c r="B19" s="12" t="s">
        <v>16</v>
      </c>
      <c r="C19" s="11" t="s">
        <v>7</v>
      </c>
      <c r="D19" s="10">
        <v>16</v>
      </c>
      <c r="E19" s="5">
        <v>16</v>
      </c>
      <c r="F19" s="6">
        <v>17</v>
      </c>
      <c r="G19" s="6">
        <v>19</v>
      </c>
      <c r="H19" s="5">
        <v>20</v>
      </c>
      <c r="I19" s="6">
        <v>21</v>
      </c>
      <c r="J19" s="6">
        <v>23</v>
      </c>
      <c r="K19" s="5">
        <v>24</v>
      </c>
      <c r="L19" s="5">
        <v>28</v>
      </c>
      <c r="M19" s="5">
        <v>30</v>
      </c>
      <c r="N19" s="10">
        <v>30</v>
      </c>
    </row>
    <row r="20" spans="1:14" x14ac:dyDescent="0.3">
      <c r="A20" s="66"/>
      <c r="B20" s="12" t="s">
        <v>17</v>
      </c>
      <c r="C20" s="11" t="s">
        <v>14</v>
      </c>
      <c r="D20" s="10">
        <v>9</v>
      </c>
      <c r="E20" s="10">
        <v>9</v>
      </c>
      <c r="F20" s="5">
        <v>11</v>
      </c>
      <c r="G20" s="10">
        <v>11</v>
      </c>
      <c r="H20" s="5">
        <v>13</v>
      </c>
      <c r="I20" s="5">
        <v>14</v>
      </c>
    </row>
    <row r="21" spans="1:14" x14ac:dyDescent="0.3">
      <c r="A21" s="66"/>
      <c r="B21" s="12" t="s">
        <v>18</v>
      </c>
      <c r="C21" s="11" t="s">
        <v>14</v>
      </c>
      <c r="D21" s="5">
        <v>18</v>
      </c>
      <c r="E21" s="5">
        <v>20</v>
      </c>
      <c r="F21" s="5">
        <v>21</v>
      </c>
      <c r="G21" s="5">
        <v>23</v>
      </c>
      <c r="H21" s="5">
        <v>25</v>
      </c>
      <c r="I21" s="5">
        <v>27</v>
      </c>
      <c r="J21" s="5">
        <v>28</v>
      </c>
      <c r="K21" s="5">
        <v>30</v>
      </c>
    </row>
    <row r="22" spans="1:14" x14ac:dyDescent="0.3">
      <c r="A22" s="67"/>
      <c r="B22" s="12" t="s">
        <v>19</v>
      </c>
      <c r="C22" s="11" t="s">
        <v>15</v>
      </c>
      <c r="D22" s="5">
        <v>4</v>
      </c>
      <c r="E22" s="5">
        <v>5</v>
      </c>
      <c r="F22" s="5">
        <v>14</v>
      </c>
      <c r="G22" s="5">
        <v>16</v>
      </c>
      <c r="H22" s="5">
        <v>18</v>
      </c>
      <c r="I22" s="5">
        <v>19</v>
      </c>
    </row>
    <row r="23" spans="1:14" x14ac:dyDescent="0.3">
      <c r="A23" s="65" t="s">
        <v>28</v>
      </c>
      <c r="B23" s="12" t="s">
        <v>16</v>
      </c>
      <c r="C23" s="11" t="s">
        <v>7</v>
      </c>
      <c r="D23" s="5">
        <v>22</v>
      </c>
      <c r="E23" s="6">
        <v>29</v>
      </c>
      <c r="F23" s="11"/>
      <c r="G23" s="11"/>
    </row>
    <row r="24" spans="1:14" x14ac:dyDescent="0.3">
      <c r="A24" s="66"/>
      <c r="B24" s="12" t="s">
        <v>17</v>
      </c>
      <c r="C24" s="11" t="s">
        <v>14</v>
      </c>
      <c r="D24" s="5">
        <v>5</v>
      </c>
      <c r="E24" s="5">
        <v>12</v>
      </c>
      <c r="F24" s="11"/>
      <c r="G24" s="11"/>
    </row>
    <row r="25" spans="1:14" x14ac:dyDescent="0.3">
      <c r="A25" s="66"/>
      <c r="B25" s="12" t="s">
        <v>18</v>
      </c>
      <c r="C25" s="11" t="s">
        <v>14</v>
      </c>
      <c r="D25" s="5">
        <v>19</v>
      </c>
      <c r="E25" s="5">
        <v>26</v>
      </c>
      <c r="F25" s="11"/>
      <c r="G25" s="11"/>
    </row>
    <row r="26" spans="1:14" x14ac:dyDescent="0.3">
      <c r="A26" s="67"/>
      <c r="B26" s="12" t="s">
        <v>19</v>
      </c>
      <c r="C26" s="11" t="s">
        <v>15</v>
      </c>
      <c r="D26" s="5">
        <v>3</v>
      </c>
      <c r="E26" s="5">
        <v>17</v>
      </c>
      <c r="F26" s="11"/>
      <c r="G26" s="11"/>
    </row>
    <row r="27" spans="1:14" x14ac:dyDescent="0.3">
      <c r="A27" s="65" t="s">
        <v>29</v>
      </c>
      <c r="B27" s="12" t="s">
        <v>16</v>
      </c>
      <c r="C27" s="11" t="s">
        <v>7</v>
      </c>
      <c r="D27" s="6">
        <v>13</v>
      </c>
      <c r="E27" s="5">
        <v>20</v>
      </c>
      <c r="F27" s="6">
        <v>27</v>
      </c>
      <c r="G27" s="11"/>
    </row>
    <row r="28" spans="1:14" x14ac:dyDescent="0.3">
      <c r="A28" s="66"/>
      <c r="B28" s="12" t="s">
        <v>17</v>
      </c>
      <c r="C28" s="11" t="s">
        <v>14</v>
      </c>
      <c r="D28" s="5">
        <v>3</v>
      </c>
      <c r="E28" s="5">
        <v>10</v>
      </c>
      <c r="F28" s="11"/>
      <c r="G28" s="11"/>
    </row>
    <row r="29" spans="1:14" x14ac:dyDescent="0.3">
      <c r="A29" s="66"/>
      <c r="B29" s="12" t="s">
        <v>18</v>
      </c>
      <c r="C29" s="11" t="s">
        <v>14</v>
      </c>
      <c r="D29" s="5">
        <v>24</v>
      </c>
      <c r="E29" s="11"/>
      <c r="F29" s="11"/>
      <c r="G29" s="11"/>
    </row>
    <row r="30" spans="1:14" x14ac:dyDescent="0.3">
      <c r="A30" s="67"/>
      <c r="B30" s="12" t="s">
        <v>19</v>
      </c>
      <c r="C30" s="11" t="s">
        <v>15</v>
      </c>
      <c r="D30" s="5">
        <v>1</v>
      </c>
      <c r="E30" s="9">
        <v>15</v>
      </c>
      <c r="F30" s="11"/>
      <c r="G30" s="11"/>
    </row>
    <row r="31" spans="1:14" x14ac:dyDescent="0.3">
      <c r="A31" s="65" t="s">
        <v>30</v>
      </c>
      <c r="B31" s="12" t="s">
        <v>16</v>
      </c>
      <c r="C31" s="11" t="s">
        <v>7</v>
      </c>
      <c r="D31" s="6">
        <v>17</v>
      </c>
      <c r="E31" s="5">
        <v>24</v>
      </c>
      <c r="F31" s="6">
        <v>31</v>
      </c>
      <c r="G31" s="11"/>
    </row>
    <row r="32" spans="1:14" x14ac:dyDescent="0.3">
      <c r="A32" s="66"/>
      <c r="B32" s="12" t="s">
        <v>17</v>
      </c>
      <c r="C32" s="11" t="s">
        <v>14</v>
      </c>
      <c r="D32" s="5">
        <v>14</v>
      </c>
      <c r="E32" s="11"/>
      <c r="F32" s="11"/>
      <c r="G32" s="11"/>
    </row>
    <row r="33" spans="1:7" x14ac:dyDescent="0.3">
      <c r="A33" s="66"/>
      <c r="B33" s="12" t="s">
        <v>18</v>
      </c>
      <c r="C33" s="11" t="s">
        <v>14</v>
      </c>
      <c r="D33" s="5">
        <v>21</v>
      </c>
      <c r="E33" s="5">
        <v>28</v>
      </c>
      <c r="F33" s="11"/>
      <c r="G33" s="11"/>
    </row>
    <row r="34" spans="1:7" x14ac:dyDescent="0.3">
      <c r="A34" s="67"/>
      <c r="B34" s="12" t="s">
        <v>19</v>
      </c>
      <c r="C34" s="11" t="s">
        <v>15</v>
      </c>
      <c r="D34" s="5">
        <v>5</v>
      </c>
      <c r="E34" s="9">
        <v>19</v>
      </c>
      <c r="F34" s="11"/>
      <c r="G34" s="11"/>
    </row>
    <row r="35" spans="1:7" x14ac:dyDescent="0.3">
      <c r="A35" s="65" t="s">
        <v>31</v>
      </c>
      <c r="B35" s="12" t="s">
        <v>16</v>
      </c>
      <c r="C35" s="11" t="s">
        <v>7</v>
      </c>
      <c r="D35" s="6">
        <v>13</v>
      </c>
      <c r="E35" s="5">
        <v>20</v>
      </c>
      <c r="F35" s="6">
        <v>27</v>
      </c>
      <c r="G35" s="11"/>
    </row>
    <row r="36" spans="1:7" x14ac:dyDescent="0.3">
      <c r="A36" s="66"/>
      <c r="B36" s="12" t="s">
        <v>17</v>
      </c>
      <c r="C36" s="11" t="s">
        <v>14</v>
      </c>
      <c r="D36" s="5">
        <v>3</v>
      </c>
      <c r="E36" s="5">
        <v>10</v>
      </c>
      <c r="F36" s="11"/>
      <c r="G36" s="11"/>
    </row>
    <row r="37" spans="1:7" x14ac:dyDescent="0.3">
      <c r="A37" s="66"/>
      <c r="B37" s="12" t="s">
        <v>18</v>
      </c>
      <c r="C37" s="11" t="s">
        <v>14</v>
      </c>
      <c r="D37" s="5">
        <v>24</v>
      </c>
      <c r="E37" s="11"/>
      <c r="F37" s="11"/>
      <c r="G37" s="11"/>
    </row>
    <row r="38" spans="1:7" x14ac:dyDescent="0.3">
      <c r="A38" s="67"/>
      <c r="B38" s="12" t="s">
        <v>19</v>
      </c>
      <c r="C38" s="11" t="s">
        <v>15</v>
      </c>
      <c r="D38" s="5">
        <v>1</v>
      </c>
      <c r="E38" s="9">
        <v>15</v>
      </c>
      <c r="F38" s="11"/>
      <c r="G38" s="11"/>
    </row>
    <row r="39" spans="1:7" x14ac:dyDescent="0.3">
      <c r="A39" s="65" t="s">
        <v>32</v>
      </c>
      <c r="B39" s="12" t="s">
        <v>16</v>
      </c>
      <c r="C39" s="11" t="s">
        <v>7</v>
      </c>
      <c r="D39" s="5">
        <v>14</v>
      </c>
      <c r="E39" s="10">
        <v>28</v>
      </c>
      <c r="F39" s="5">
        <v>28</v>
      </c>
      <c r="G39" s="11"/>
    </row>
    <row r="40" spans="1:7" x14ac:dyDescent="0.3">
      <c r="A40" s="66"/>
      <c r="B40" s="12" t="s">
        <v>17</v>
      </c>
      <c r="C40" s="11" t="s">
        <v>14</v>
      </c>
      <c r="D40" s="5">
        <v>4</v>
      </c>
      <c r="E40" s="5">
        <v>11</v>
      </c>
      <c r="F40" s="11"/>
      <c r="G40" s="11"/>
    </row>
    <row r="41" spans="1:7" x14ac:dyDescent="0.3">
      <c r="A41" s="66"/>
      <c r="B41" s="12" t="s">
        <v>18</v>
      </c>
      <c r="C41" s="11" t="s">
        <v>14</v>
      </c>
      <c r="D41" s="5">
        <v>18</v>
      </c>
      <c r="E41" s="5">
        <v>25</v>
      </c>
      <c r="F41" s="11"/>
      <c r="G41" s="11"/>
    </row>
    <row r="42" spans="1:7" x14ac:dyDescent="0.3">
      <c r="A42" s="67"/>
      <c r="B42" s="12" t="s">
        <v>19</v>
      </c>
      <c r="C42" s="11" t="s">
        <v>15</v>
      </c>
      <c r="D42" s="5">
        <v>16</v>
      </c>
      <c r="E42" s="11"/>
      <c r="F42" s="11"/>
      <c r="G42" s="11"/>
    </row>
    <row r="43" spans="1:7" x14ac:dyDescent="0.3">
      <c r="A43" s="70" t="s">
        <v>33</v>
      </c>
      <c r="B43" s="12" t="s">
        <v>16</v>
      </c>
      <c r="C43" s="11" t="s">
        <v>7</v>
      </c>
      <c r="D43" s="5">
        <v>16</v>
      </c>
      <c r="E43" s="6">
        <v>23</v>
      </c>
      <c r="F43" s="5">
        <v>30</v>
      </c>
      <c r="G43" s="11"/>
    </row>
    <row r="44" spans="1:7" x14ac:dyDescent="0.3">
      <c r="A44" s="70"/>
      <c r="B44" s="12" t="s">
        <v>17</v>
      </c>
      <c r="C44" s="11" t="s">
        <v>14</v>
      </c>
      <c r="D44" s="5">
        <v>6</v>
      </c>
      <c r="E44" s="5">
        <v>13</v>
      </c>
      <c r="F44" s="11"/>
      <c r="G44" s="11"/>
    </row>
    <row r="45" spans="1:7" x14ac:dyDescent="0.3">
      <c r="A45" s="70"/>
      <c r="B45" s="12" t="s">
        <v>18</v>
      </c>
      <c r="C45" s="11" t="s">
        <v>14</v>
      </c>
      <c r="D45" s="5">
        <v>20</v>
      </c>
      <c r="E45" s="5">
        <v>27</v>
      </c>
      <c r="F45" s="11"/>
      <c r="G45" s="11"/>
    </row>
    <row r="46" spans="1:7" x14ac:dyDescent="0.3">
      <c r="A46" s="70"/>
      <c r="B46" s="12" t="s">
        <v>19</v>
      </c>
      <c r="C46" s="11" t="s">
        <v>15</v>
      </c>
      <c r="D46" s="5">
        <v>4</v>
      </c>
      <c r="E46" s="5">
        <v>18</v>
      </c>
      <c r="F46" s="11"/>
      <c r="G46" s="11"/>
    </row>
  </sheetData>
  <mergeCells count="12">
    <mergeCell ref="A35:A38"/>
    <mergeCell ref="A39:A42"/>
    <mergeCell ref="D2:N2"/>
    <mergeCell ref="A43:A46"/>
    <mergeCell ref="A3:A6"/>
    <mergeCell ref="A7:A10"/>
    <mergeCell ref="A11:A14"/>
    <mergeCell ref="A15:A18"/>
    <mergeCell ref="A19:A22"/>
    <mergeCell ref="A23:A26"/>
    <mergeCell ref="A27:A30"/>
    <mergeCell ref="A31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Master Copy - A</vt:lpstr>
      <vt:lpstr>22DS501PC - ADA</vt:lpstr>
      <vt:lpstr>22DS502PC-IDS</vt:lpstr>
      <vt:lpstr>22AM503PC-CN</vt:lpstr>
      <vt:lpstr>22DS512PE-AI</vt:lpstr>
      <vt:lpstr>22DS522PE-IRS</vt:lpstr>
      <vt:lpstr>22DS504PC-RP LAB</vt:lpstr>
      <vt:lpstr>22AM506PC-CN LAB</vt:lpstr>
      <vt:lpstr>22EN508HS-AECS LAB</vt:lpstr>
      <vt:lpstr>22DS506PC - ETL KAFKA TALEND</vt:lpstr>
      <vt:lpstr>22MC512 - EOIKT</vt:lpstr>
      <vt:lpstr>22MC510 - IPR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aceec</dc:creator>
  <cp:lastModifiedBy>sukeerthi</cp:lastModifiedBy>
  <cp:lastPrinted>2024-06-01T05:50:34Z</cp:lastPrinted>
  <dcterms:created xsi:type="dcterms:W3CDTF">2024-05-30T05:46:34Z</dcterms:created>
  <dcterms:modified xsi:type="dcterms:W3CDTF">2025-11-02T15:52:24Z</dcterms:modified>
</cp:coreProperties>
</file>